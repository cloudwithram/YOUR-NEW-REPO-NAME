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deloitte-my.sharepoint.com/personal/psharma37_deloitte_com/Documents/Documents/"/>
    </mc:Choice>
  </mc:AlternateContent>
  <xr:revisionPtr revIDLastSave="0" documentId="8_{7AAB0FBD-CBED-4B1B-A94A-F9A6F9E28DB3}" xr6:coauthVersionLast="47" xr6:coauthVersionMax="47" xr10:uidLastSave="{00000000-0000-0000-0000-000000000000}"/>
  <bookViews>
    <workbookView xWindow="-110" yWindow="-110" windowWidth="19420" windowHeight="10300" activeTab="2" xr2:uid="{B80042E1-D780-46BA-839E-2B517CA1E28D}"/>
  </bookViews>
  <sheets>
    <sheet name="Aug" sheetId="46" r:id="rId1"/>
    <sheet name="Master Sheet" sheetId="45" r:id="rId2"/>
    <sheet name="Sheet1" sheetId="4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" i="46" l="1"/>
  <c r="B49" i="46"/>
  <c r="B33" i="46"/>
  <c r="B1" i="46"/>
  <c r="B1" i="45"/>
  <c r="B17" i="46"/>
</calcChain>
</file>

<file path=xl/sharedStrings.xml><?xml version="1.0" encoding="utf-8"?>
<sst xmlns="http://schemas.openxmlformats.org/spreadsheetml/2006/main" count="652" uniqueCount="203">
  <si>
    <t>Date</t>
  </si>
  <si>
    <t xml:space="preserve">Activity </t>
  </si>
  <si>
    <t>Category</t>
  </si>
  <si>
    <t>Duration (Active time spent on this)</t>
  </si>
  <si>
    <t>Comments</t>
  </si>
  <si>
    <t>Daily report</t>
  </si>
  <si>
    <t>Reporting / Project</t>
  </si>
  <si>
    <t>Preparing daily visits report and sharing with the leads</t>
  </si>
  <si>
    <t>Daily visit room checks</t>
  </si>
  <si>
    <t>AV / Support Readiness</t>
  </si>
  <si>
    <t>Testing reserved rooms for the visits scheduled for the day-KEYLOOP (UK) LIMITED, KASEYA INC., CBRE GLOBAL HOLDINGS SARL and UBER TECHNOLOGIES, INC.</t>
  </si>
  <si>
    <t>Captivate report sheet update</t>
  </si>
  <si>
    <t>Captivate Portal</t>
  </si>
  <si>
    <t>Updating the master tracker with the new requests, cancelled requests, date changes and location changes</t>
  </si>
  <si>
    <t>Captivate technology Comments update</t>
  </si>
  <si>
    <t>Updating comments for the visits in Captivate under technology logistics and also checking the updated comments by the POC and keep the master sheet updaed</t>
  </si>
  <si>
    <t>Technology requirements info</t>
  </si>
  <si>
    <t>Emails / IM Support</t>
  </si>
  <si>
    <t>Reaching out to users for the new requests in Captivate for the week through emails/teams and also reaching out to Asset team/Ops team based on the user requirement</t>
  </si>
  <si>
    <t>Technology support</t>
  </si>
  <si>
    <t>Provided dedicated support for dry-run in Symphony for UBER TECHNOLOGIES, INC. and also supported townhall in the end(camera switching in ipad) while joining the teams call, supported CBRE dry-run in T2 5F</t>
  </si>
  <si>
    <t>Mailbox monitoring</t>
  </si>
  <si>
    <t xml:space="preserve">Checking on AV Ops shared mailbox for the client visits and reply to them accordingly. Also checked emails for loaner laptop requests and reached out ot ITS team </t>
  </si>
  <si>
    <t>weekly report</t>
  </si>
  <si>
    <t>Preparing weekly data along with visit summary and sharing with the leads via email</t>
  </si>
  <si>
    <t>Monthly report</t>
  </si>
  <si>
    <t>Monday/ Friday team huddle</t>
  </si>
  <si>
    <t>Team Meeting / Huddle</t>
  </si>
  <si>
    <t>Solution and EE team connect</t>
  </si>
  <si>
    <t>Collaboration Support</t>
  </si>
  <si>
    <t>CX Support Engagement</t>
  </si>
  <si>
    <t>CX Solutions Engagement</t>
  </si>
  <si>
    <t>ServiceNow </t>
  </si>
  <si>
    <t>Client Visit Readiness</t>
  </si>
  <si>
    <t xml:space="preserve">Mailbox Monitoring </t>
  </si>
  <si>
    <t xml:space="preserve">Emails / IM Support </t>
  </si>
  <si>
    <t>Technology Support</t>
  </si>
  <si>
    <t>Reporting</t>
  </si>
  <si>
    <t xml:space="preserve">Reporting / Project </t>
  </si>
  <si>
    <t>AV Operations Support</t>
  </si>
  <si>
    <t xml:space="preserve">CX Support Front Desk </t>
  </si>
  <si>
    <t>Monitoring Tickets</t>
  </si>
  <si>
    <t xml:space="preserve">ServiceNow </t>
  </si>
  <si>
    <t>Monitoring Requests</t>
  </si>
  <si>
    <t xml:space="preserve">Captivate Portal </t>
  </si>
  <si>
    <t>Monday, August 10,2026</t>
  </si>
  <si>
    <t>Total</t>
  </si>
  <si>
    <t>Conncting with the Visit POC and checking the Room rediness</t>
  </si>
  <si>
    <t>checking the mails and checking the POC requirements for the visits</t>
  </si>
  <si>
    <t>Doing the dry run with the Visit POC agenda</t>
  </si>
  <si>
    <t>Highlited the issue faced in the vsit any writing the summer</t>
  </si>
  <si>
    <t>Activity</t>
  </si>
  <si>
    <t>Duration</t>
  </si>
  <si>
    <t>Daily report and dashboard update</t>
  </si>
  <si>
    <t>Prepared the daily visits report in the dashboard and shared it with the leads.</t>
  </si>
  <si>
    <t>AV / Support</t>
  </si>
  <si>
    <t>Completed post-event and scheduled visit readiness checks for the SYMRISE and Blackstone.</t>
  </si>
  <si>
    <t>Updated the master tracker with event follow-up items.</t>
  </si>
  <si>
    <t>Captivate technology comments update</t>
  </si>
  <si>
    <t>Documented technology follow-up items and updated POC comments.</t>
  </si>
  <si>
    <t>Technology requirements information</t>
  </si>
  <si>
    <t>Followed up with users and support teams.</t>
  </si>
  <si>
    <t>For the SYMRISE event, provided dedicated support and a dry run for SCHNEIDER.</t>
  </si>
  <si>
    <t>Monitored and responded to open requests.</t>
  </si>
  <si>
    <t>CTS - POC</t>
  </si>
  <si>
    <t>S.no</t>
  </si>
  <si>
    <t>Request ID.</t>
  </si>
  <si>
    <t>Client/Account Team Name</t>
  </si>
  <si>
    <t>Priority</t>
  </si>
  <si>
    <t>Location</t>
  </si>
  <si>
    <t>Start Date</t>
  </si>
  <si>
    <t>End Date</t>
  </si>
  <si>
    <t>Allocated Spaces</t>
  </si>
  <si>
    <t>Time</t>
  </si>
  <si>
    <t>Dedicated/ Dry Runs/Comments</t>
  </si>
  <si>
    <t>Requestor</t>
  </si>
  <si>
    <t>Hosting Business</t>
  </si>
  <si>
    <t>Purpose of Visit</t>
  </si>
  <si>
    <t>Requirement from Support</t>
  </si>
  <si>
    <t>Special Tech Requirement from Support</t>
  </si>
  <si>
    <t>Requirements from Solutions</t>
  </si>
  <si>
    <t>Special Tech requirements from Solutions</t>
  </si>
  <si>
    <t>AD-Hoc</t>
  </si>
  <si>
    <t>Cancelled</t>
  </si>
  <si>
    <t>Requested date</t>
  </si>
  <si>
    <t>CONVERGINT TECHNOLOGIES GROUP</t>
  </si>
  <si>
    <t>NA</t>
  </si>
  <si>
    <t>Bengaluru, 
Hyderabad</t>
  </si>
  <si>
    <t>BLR:Vista 3rd floore open area
HYD:24-Aug	T2 16F TR15	T2 16F TR16
25-Aug	T2 16F TR17	T2 16F TR04
26-Aug	T2 16F TR15	T2 16F TR04
27-Aug	T2 16F TR16	T2 16F TR17
28-Aug	T2 16F TR16	T2 16F TR15</t>
  </si>
  <si>
    <t>karmisingh@deloitte.com</t>
  </si>
  <si>
    <t>Consulting Services</t>
  </si>
  <si>
    <t>Project Planning &amp; Delivery</t>
  </si>
  <si>
    <t>3 loaner laptops</t>
  </si>
  <si>
    <t>No</t>
  </si>
  <si>
    <t>AV readiness, Zoom connectivity, Clicker</t>
  </si>
  <si>
    <t>1 PA system</t>
  </si>
  <si>
    <t>ELI LILLY AND COMPANY</t>
  </si>
  <si>
    <t>Bengaluru</t>
  </si>
  <si>
    <t>Vista GF Client Experience Center</t>
  </si>
  <si>
    <t>bsadhanasudhakaran@deloitte.com</t>
  </si>
  <si>
    <t>NO</t>
  </si>
  <si>
    <t>KOCH, INC.</t>
  </si>
  <si>
    <t>B7 2F TR07</t>
  </si>
  <si>
    <t>avivek@deloitte.com</t>
  </si>
  <si>
    <t>HRS&amp;T</t>
  </si>
  <si>
    <t>Relationship Building</t>
  </si>
  <si>
    <t>Yes</t>
  </si>
  <si>
    <t>Ralph Lauren Corporation</t>
  </si>
  <si>
    <t>GF BR 01</t>
  </si>
  <si>
    <t xml:space="preserve">MIVERMA@DELOITTE.COM
</t>
  </si>
  <si>
    <t>AI&amp;DATA</t>
  </si>
  <si>
    <t>Palak</t>
  </si>
  <si>
    <t>AHOLD DELHAIZE</t>
  </si>
  <si>
    <t>Premium</t>
  </si>
  <si>
    <t>CEC,vista</t>
  </si>
  <si>
    <t>Dedicated Support</t>
  </si>
  <si>
    <t>adchandran@deloitte.com</t>
  </si>
  <si>
    <t xml:space="preserve">2 loaner laptops are required
 </t>
  </si>
  <si>
    <t xml:space="preserve">Adhoc request for the1 dispay </t>
  </si>
  <si>
    <t>Nandini</t>
  </si>
  <si>
    <t>Blackstone Inc.</t>
  </si>
  <si>
    <t>BR01 GF,B7 6F CR01_G7500</t>
  </si>
  <si>
    <t>pbagaria@deloitte.com</t>
  </si>
  <si>
    <t>Audit &amp; assurance</t>
  </si>
  <si>
    <t>Dublicate POC confimed</t>
  </si>
  <si>
    <t>vdalmeida@deloitte.com</t>
  </si>
  <si>
    <t>Audit &amp; Assurance</t>
  </si>
  <si>
    <t>Vista GF BR-01, 23rd in 6th Floor - B7 6F CR01_G7500</t>
  </si>
  <si>
    <t>anushsn@deloitte.com</t>
  </si>
  <si>
    <t xml:space="preserve">Palak </t>
  </si>
  <si>
    <t>Abbott Laboratories</t>
  </si>
  <si>
    <t>Velocity , 6th floor CR 001, TR 002 and TR 003</t>
  </si>
  <si>
    <t>pranavsingh3@deloitte.com</t>
  </si>
  <si>
    <t>3 monitors, 3 HDMI,one belikn connecter,</t>
  </si>
  <si>
    <t>SCHNEIDER ELECTRIC HOLDINGS, INC.</t>
  </si>
  <si>
    <t>22nd Sept - CR01 , 23rd Sept - CEC, CR01 In vista</t>
  </si>
  <si>
    <t>Dry Run</t>
  </si>
  <si>
    <t>prabmishra@deloitte.com</t>
  </si>
  <si>
    <t>AM&amp;C</t>
  </si>
  <si>
    <t>Active Sales &amp; Renewals</t>
  </si>
  <si>
    <t>2 - Loaner Laptop</t>
  </si>
  <si>
    <t>SYMRISE INC.</t>
  </si>
  <si>
    <t>CEC, Innovation floor center space &amp; CR room on Innovation floor-vista</t>
  </si>
  <si>
    <t>mehtaviral@deloitte.com</t>
  </si>
  <si>
    <t xml:space="preserve">EOAAS </t>
  </si>
  <si>
    <t>Capability Assessment</t>
  </si>
  <si>
    <t>1002954 </t>
  </si>
  <si>
    <t>VA 8F CEC</t>
  </si>
  <si>
    <t>ajays54@deloitte.com</t>
  </si>
  <si>
    <t>YES</t>
  </si>
  <si>
    <t>HITACHI CONSTRUCTION MACHINERY</t>
  </si>
  <si>
    <t>CEC Vista</t>
  </si>
  <si>
    <t>Dedicated Support + Dry Run</t>
  </si>
  <si>
    <t>chbarve@deloitte.com</t>
  </si>
  <si>
    <t>Enterprise Solutions</t>
  </si>
  <si>
    <t>yes</t>
  </si>
  <si>
    <t>CHEVRON CORPORATION</t>
  </si>
  <si>
    <t>VE 5F TR03_X30  &amp;   VE 5F TR 07</t>
  </si>
  <si>
    <t>9am to 9pm</t>
  </si>
  <si>
    <t>mbalasubramaniam@deloitte.com</t>
  </si>
  <si>
    <t>CONSULTING SERVICES</t>
  </si>
  <si>
    <t>Monster Beverage Corporation</t>
  </si>
  <si>
    <t>Valence GRF MPH is booked for all three days. 
Trying to get TR07 or TR08 for leadership meetings.</t>
  </si>
  <si>
    <t>10AM to 6PM</t>
  </si>
  <si>
    <t>gimurthy@deloitte.com</t>
  </si>
  <si>
    <t>TD BANK US HOLDING COMPANY</t>
  </si>
  <si>
    <t>Dropped an email to POC, waiting for response</t>
  </si>
  <si>
    <t>jireddy@deloitte.com</t>
  </si>
  <si>
    <t>Support Tier</t>
  </si>
  <si>
    <t>MARRIOTT INTERNATIONAL, INC.</t>
  </si>
  <si>
    <t>Vista GF CEC</t>
  </si>
  <si>
    <t>1 PM to 8 PM</t>
  </si>
  <si>
    <t>rithm@deloitte.com</t>
  </si>
  <si>
    <t>no</t>
  </si>
  <si>
    <t>nn</t>
  </si>
  <si>
    <t>Vel 2f CR01</t>
  </si>
  <si>
    <t>sagarj5@deloitte.com</t>
  </si>
  <si>
    <t>CR01-2F-BLR Velocity</t>
  </si>
  <si>
    <t>midhum@deloitte.com</t>
  </si>
  <si>
    <t>TRANE TECHNOLOGIES</t>
  </si>
  <si>
    <t>August 10th – Monday – Velocity 3F CR01_X50
August 11th – Tuesday – Valence 8F CR01_X50
August 12th – Wednesday – Valence 8F CR01_X50
August 13th – Thursday – Velocity 3F CR01_X50
August 14th – Friday – Velocity 3F CR01_X50</t>
  </si>
  <si>
    <t>9 AM to 8 PM</t>
  </si>
  <si>
    <t>okhandalkar@deloitte.com</t>
  </si>
  <si>
    <t>FOX CORPORATION INC.</t>
  </si>
  <si>
    <t>Vista GF CR 01</t>
  </si>
  <si>
    <t>ssirisha5@deloitte.com</t>
  </si>
  <si>
    <t>5 monitor , 5 keyboard, 5 Mouse, 2 connecters HDMI-C type,1 clciker</t>
  </si>
  <si>
    <t>HP Inc.</t>
  </si>
  <si>
    <t>GF CEC</t>
  </si>
  <si>
    <t>9.30 am to 4.00 pm</t>
  </si>
  <si>
    <t>nchhaya@deloitte.com</t>
  </si>
  <si>
    <t>HERBALIFE INTERNATIONAL, INC.</t>
  </si>
  <si>
    <t>CR01,TRG07,TR01,TRG 08</t>
  </si>
  <si>
    <t>vigmohan@deloitte.com</t>
  </si>
  <si>
    <t>Bengaluru
Hyderabad</t>
  </si>
  <si>
    <t>BLR:Vista 3rd floore open area
HYD:24-Aug T2 16F TR15 T2 16F TR16
25-Aug T2 16F TR17 T2 16F TR04
26-Aug T2 16F TR15 T2 16F TR04
27-Aug T2 16F TR16 T2 16F TR17
28-Aug T2 16F TR16 T2 16F TR15</t>
  </si>
  <si>
    <t>BR 01,TR-01, GF, Vista</t>
  </si>
  <si>
    <t>aditychakraborty@deloitte.com</t>
  </si>
  <si>
    <t>CUST S&amp;S IN PUN</t>
  </si>
  <si>
    <t>API Group Corporation</t>
  </si>
  <si>
    <t>VE 6F CR01</t>
  </si>
  <si>
    <t>11:00 AM to 5:30 PM</t>
  </si>
  <si>
    <t>vikrajendran@deloitte.com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</si>
</sst>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 x14ac:knownFonts="1">
    <font>
      <sz val="11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sz val="11"/>
      <color rgb="FF63666A"/>
      <name val="Aptos Narrow"/>
      <family val="2"/>
    </font>
    <font>
      <u/>
      <sz val="11"/>
      <color theme="10"/>
      <name val="Aptos Narrow"/>
      <family val="2"/>
    </font>
    <font>
      <b/>
      <sz val="11"/>
      <color rgb="FF000000"/>
      <name val="Aptos Narrow"/>
      <family val="2"/>
    </font>
    <font>
      <b/>
      <sz val="11"/>
      <color rgb="FF63666A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FBE2D5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/>
    <xf numFmtId="16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3" borderId="1" xfId="0" applyFont="1" applyFill="1" applyBorder="1"/>
    <xf numFmtId="164" fontId="4" fillId="3" borderId="3" xfId="0" applyNumberFormat="1" applyFont="1" applyFill="1" applyBorder="1"/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Fill="1" applyBorder="1" applyAlignment="1">
      <alignment vertical="center" wrapText="1"/>
    </xf>
    <xf numFmtId="0" fontId="0" fillId="0" borderId="2" xfId="0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4" fontId="5" fillId="4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4" fontId="7" fillId="5" borderId="0" xfId="0" applyNumberFormat="1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14" fontId="6" fillId="5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14" fontId="10" fillId="6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 wrapText="1"/>
    </xf>
    <xf numFmtId="14" fontId="5" fillId="6" borderId="0" xfId="0" applyNumberFormat="1" applyFont="1" applyFill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14" fontId="10" fillId="6" borderId="0" xfId="0" applyNumberFormat="1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14" fontId="7" fillId="7" borderId="0" xfId="0" applyNumberFormat="1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 wrapText="1"/>
    </xf>
    <xf numFmtId="14" fontId="5" fillId="7" borderId="0" xfId="0" applyNumberFormat="1" applyFont="1" applyFill="1" applyAlignment="1">
      <alignment horizontal="center" vertical="center" wrapText="1"/>
    </xf>
    <xf numFmtId="14" fontId="6" fillId="7" borderId="0" xfId="0" applyNumberFormat="1" applyFont="1" applyFill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0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 wrapText="1"/>
    </xf>
    <xf numFmtId="14" fontId="10" fillId="9" borderId="0" xfId="0" applyNumberFormat="1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6/relationships/vbaProject" Target="vbaProject.bin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60</xdr:row>
      <xdr:rowOff>0</xdr:rowOff>
    </xdr:from>
    <xdr:ext cx="304800" cy="307600"/>
    <xdr:sp macro="" textlink="">
      <xdr:nvSpPr>
        <xdr:cNvPr id="2" name="AutoShape 2" descr="reason">
          <a:extLst>
            <a:ext uri="{FF2B5EF4-FFF2-40B4-BE49-F238E27FC236}">
              <a16:creationId xmlns:a16="http://schemas.microsoft.com/office/drawing/2014/main" id="{FE3BD06D-F3C4-43D8-B9C9-8D12890BED78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07600"/>
    <xdr:sp macro="" textlink="">
      <xdr:nvSpPr>
        <xdr:cNvPr id="3" name="AutoShape 3" descr="reason">
          <a:extLst>
            <a:ext uri="{FF2B5EF4-FFF2-40B4-BE49-F238E27FC236}">
              <a16:creationId xmlns:a16="http://schemas.microsoft.com/office/drawing/2014/main" id="{3D35EFF4-302E-44D7-842B-60E912414330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07601"/>
    <xdr:sp macro="" textlink="">
      <xdr:nvSpPr>
        <xdr:cNvPr id="4" name="AutoShape 4" descr="reason">
          <a:extLst>
            <a:ext uri="{FF2B5EF4-FFF2-40B4-BE49-F238E27FC236}">
              <a16:creationId xmlns:a16="http://schemas.microsoft.com/office/drawing/2014/main" id="{62F6D8AF-B61A-41BD-81F5-F0257899D1CB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7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07599"/>
    <xdr:sp macro="" textlink="">
      <xdr:nvSpPr>
        <xdr:cNvPr id="5" name="AutoShape 5" descr="reason">
          <a:extLst>
            <a:ext uri="{FF2B5EF4-FFF2-40B4-BE49-F238E27FC236}">
              <a16:creationId xmlns:a16="http://schemas.microsoft.com/office/drawing/2014/main" id="{B80B1C24-31BA-4042-BE4C-4DF031A4B4B8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7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09501"/>
    <xdr:sp macro="" textlink="">
      <xdr:nvSpPr>
        <xdr:cNvPr id="6" name="AutoShape 7" descr="reason">
          <a:extLst>
            <a:ext uri="{FF2B5EF4-FFF2-40B4-BE49-F238E27FC236}">
              <a16:creationId xmlns:a16="http://schemas.microsoft.com/office/drawing/2014/main" id="{10B66816-3BA3-4AFE-9760-A5F7DB74967F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09501"/>
    <xdr:sp macro="" textlink="">
      <xdr:nvSpPr>
        <xdr:cNvPr id="7" name="AutoShape 8" descr="reason">
          <a:extLst>
            <a:ext uri="{FF2B5EF4-FFF2-40B4-BE49-F238E27FC236}">
              <a16:creationId xmlns:a16="http://schemas.microsoft.com/office/drawing/2014/main" id="{DD2855B0-736F-4F0D-92C4-31DC343EA88E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09501"/>
    <xdr:sp macro="" textlink="">
      <xdr:nvSpPr>
        <xdr:cNvPr id="8" name="AutoShape 9" descr="reason">
          <a:extLst>
            <a:ext uri="{FF2B5EF4-FFF2-40B4-BE49-F238E27FC236}">
              <a16:creationId xmlns:a16="http://schemas.microsoft.com/office/drawing/2014/main" id="{DFC17FED-04FE-410E-AC3E-5AA8A1DC5018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09501"/>
    <xdr:sp macro="" textlink="">
      <xdr:nvSpPr>
        <xdr:cNvPr id="9" name="AutoShape 10" descr="reason">
          <a:extLst>
            <a:ext uri="{FF2B5EF4-FFF2-40B4-BE49-F238E27FC236}">
              <a16:creationId xmlns:a16="http://schemas.microsoft.com/office/drawing/2014/main" id="{B16161A7-27B4-4DFB-894A-F57F70B3B4EA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09501"/>
    <xdr:sp macro="" textlink="">
      <xdr:nvSpPr>
        <xdr:cNvPr id="10" name="AutoShape 11" descr="reason">
          <a:extLst>
            <a:ext uri="{FF2B5EF4-FFF2-40B4-BE49-F238E27FC236}">
              <a16:creationId xmlns:a16="http://schemas.microsoft.com/office/drawing/2014/main" id="{4232D8BC-852F-4AF1-955B-7B722F4361C3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09501"/>
    <xdr:sp macro="" textlink="">
      <xdr:nvSpPr>
        <xdr:cNvPr id="11" name="AutoShape 12" descr="reason">
          <a:extLst>
            <a:ext uri="{FF2B5EF4-FFF2-40B4-BE49-F238E27FC236}">
              <a16:creationId xmlns:a16="http://schemas.microsoft.com/office/drawing/2014/main" id="{19120143-8939-4D1E-B75F-32760352072F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09502"/>
    <xdr:sp macro="" textlink="">
      <xdr:nvSpPr>
        <xdr:cNvPr id="12" name="AutoShape 13" descr="reason">
          <a:extLst>
            <a:ext uri="{FF2B5EF4-FFF2-40B4-BE49-F238E27FC236}">
              <a16:creationId xmlns:a16="http://schemas.microsoft.com/office/drawing/2014/main" id="{E1546DE0-7468-4D8F-9E2F-6B55A2FD995F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09501"/>
    <xdr:sp macro="" textlink="">
      <xdr:nvSpPr>
        <xdr:cNvPr id="13" name="AutoShape 14" descr="reason">
          <a:extLst>
            <a:ext uri="{FF2B5EF4-FFF2-40B4-BE49-F238E27FC236}">
              <a16:creationId xmlns:a16="http://schemas.microsoft.com/office/drawing/2014/main" id="{19170D04-A6FC-4B20-AA9E-E79A5F305EC5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19743"/>
    <xdr:sp macro="" textlink="">
      <xdr:nvSpPr>
        <xdr:cNvPr id="14" name="AutoShape 2" descr="reason">
          <a:extLst>
            <a:ext uri="{FF2B5EF4-FFF2-40B4-BE49-F238E27FC236}">
              <a16:creationId xmlns:a16="http://schemas.microsoft.com/office/drawing/2014/main" id="{688F141E-A17D-4674-AAA6-3C5645C3793E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19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19744"/>
    <xdr:sp macro="" textlink="">
      <xdr:nvSpPr>
        <xdr:cNvPr id="15" name="AutoShape 3" descr="reason">
          <a:extLst>
            <a:ext uri="{FF2B5EF4-FFF2-40B4-BE49-F238E27FC236}">
              <a16:creationId xmlns:a16="http://schemas.microsoft.com/office/drawing/2014/main" id="{7FA3299F-DF87-41B2-ABEB-8AA8AC4904B7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19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19744"/>
    <xdr:sp macro="" textlink="">
      <xdr:nvSpPr>
        <xdr:cNvPr id="16" name="AutoShape 4" descr="reason">
          <a:extLst>
            <a:ext uri="{FF2B5EF4-FFF2-40B4-BE49-F238E27FC236}">
              <a16:creationId xmlns:a16="http://schemas.microsoft.com/office/drawing/2014/main" id="{EFE6F357-51EF-436C-8F54-23BC47BF26F3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19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19744"/>
    <xdr:sp macro="" textlink="">
      <xdr:nvSpPr>
        <xdr:cNvPr id="17" name="AutoShape 5" descr="reason">
          <a:extLst>
            <a:ext uri="{FF2B5EF4-FFF2-40B4-BE49-F238E27FC236}">
              <a16:creationId xmlns:a16="http://schemas.microsoft.com/office/drawing/2014/main" id="{BD82FF42-DA3C-4317-90C1-F1316D2BE7BD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19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19744"/>
    <xdr:sp macro="" textlink="">
      <xdr:nvSpPr>
        <xdr:cNvPr id="18" name="AutoShape 6" descr="reason">
          <a:extLst>
            <a:ext uri="{FF2B5EF4-FFF2-40B4-BE49-F238E27FC236}">
              <a16:creationId xmlns:a16="http://schemas.microsoft.com/office/drawing/2014/main" id="{987A945E-10B7-41B8-9273-E8BD704E3278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19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16450"/>
    <xdr:sp macro="" textlink="">
      <xdr:nvSpPr>
        <xdr:cNvPr id="19" name="AutoShape 12" descr="reason">
          <a:extLst>
            <a:ext uri="{FF2B5EF4-FFF2-40B4-BE49-F238E27FC236}">
              <a16:creationId xmlns:a16="http://schemas.microsoft.com/office/drawing/2014/main" id="{3E334779-3036-49DD-9463-AF11104D98FA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1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16450"/>
    <xdr:sp macro="" textlink="">
      <xdr:nvSpPr>
        <xdr:cNvPr id="20" name="AutoShape 13" descr="reason">
          <a:extLst>
            <a:ext uri="{FF2B5EF4-FFF2-40B4-BE49-F238E27FC236}">
              <a16:creationId xmlns:a16="http://schemas.microsoft.com/office/drawing/2014/main" id="{43E86493-1A37-4012-BF1A-1B32FBA49E8B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1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16450"/>
    <xdr:sp macro="" textlink="">
      <xdr:nvSpPr>
        <xdr:cNvPr id="21" name="AutoShape 14" descr="reason">
          <a:extLst>
            <a:ext uri="{FF2B5EF4-FFF2-40B4-BE49-F238E27FC236}">
              <a16:creationId xmlns:a16="http://schemas.microsoft.com/office/drawing/2014/main" id="{08879024-ABD4-4EC4-B07F-E4769E234527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1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16450"/>
    <xdr:sp macro="" textlink="">
      <xdr:nvSpPr>
        <xdr:cNvPr id="22" name="AutoShape 15" descr="reason">
          <a:extLst>
            <a:ext uri="{FF2B5EF4-FFF2-40B4-BE49-F238E27FC236}">
              <a16:creationId xmlns:a16="http://schemas.microsoft.com/office/drawing/2014/main" id="{ACB3521C-384C-4EBD-8D9A-EE4959038E6E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1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16451"/>
    <xdr:sp macro="" textlink="">
      <xdr:nvSpPr>
        <xdr:cNvPr id="23" name="AutoShape 16" descr="reason">
          <a:extLst>
            <a:ext uri="{FF2B5EF4-FFF2-40B4-BE49-F238E27FC236}">
              <a16:creationId xmlns:a16="http://schemas.microsoft.com/office/drawing/2014/main" id="{DDB74BC6-7E3B-4323-BBC9-4821A09F2F44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16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16450"/>
    <xdr:sp macro="" textlink="">
      <xdr:nvSpPr>
        <xdr:cNvPr id="24" name="AutoShape 17" descr="reason">
          <a:extLst>
            <a:ext uri="{FF2B5EF4-FFF2-40B4-BE49-F238E27FC236}">
              <a16:creationId xmlns:a16="http://schemas.microsoft.com/office/drawing/2014/main" id="{19A4AB7E-0205-4DE7-9E97-2E44B576A3CB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1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08611"/>
    <xdr:sp macro="" textlink="">
      <xdr:nvSpPr>
        <xdr:cNvPr id="25" name="AutoShape 20" descr="reason">
          <a:extLst>
            <a:ext uri="{FF2B5EF4-FFF2-40B4-BE49-F238E27FC236}">
              <a16:creationId xmlns:a16="http://schemas.microsoft.com/office/drawing/2014/main" id="{D0972E0E-5951-494B-AD25-D6CD41450B1C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8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08610"/>
    <xdr:sp macro="" textlink="">
      <xdr:nvSpPr>
        <xdr:cNvPr id="26" name="AutoShape 21" descr="reason">
          <a:extLst>
            <a:ext uri="{FF2B5EF4-FFF2-40B4-BE49-F238E27FC236}">
              <a16:creationId xmlns:a16="http://schemas.microsoft.com/office/drawing/2014/main" id="{142F72FF-F7EA-4474-BE4F-D1CF54302751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08611"/>
    <xdr:sp macro="" textlink="">
      <xdr:nvSpPr>
        <xdr:cNvPr id="27" name="AutoShape 22" descr="reason">
          <a:extLst>
            <a:ext uri="{FF2B5EF4-FFF2-40B4-BE49-F238E27FC236}">
              <a16:creationId xmlns:a16="http://schemas.microsoft.com/office/drawing/2014/main" id="{FA37DB46-43CA-4702-9D2D-038D8948EB87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8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08611"/>
    <xdr:sp macro="" textlink="">
      <xdr:nvSpPr>
        <xdr:cNvPr id="28" name="AutoShape 23" descr="reason">
          <a:extLst>
            <a:ext uri="{FF2B5EF4-FFF2-40B4-BE49-F238E27FC236}">
              <a16:creationId xmlns:a16="http://schemas.microsoft.com/office/drawing/2014/main" id="{5CC39567-6CCF-42F3-9D2D-4CBA9B5D6763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8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08611"/>
    <xdr:sp macro="" textlink="">
      <xdr:nvSpPr>
        <xdr:cNvPr id="29" name="AutoShape 24" descr="reason">
          <a:extLst>
            <a:ext uri="{FF2B5EF4-FFF2-40B4-BE49-F238E27FC236}">
              <a16:creationId xmlns:a16="http://schemas.microsoft.com/office/drawing/2014/main" id="{CF10E16C-109C-4845-A4E0-1CA30E9BB94E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8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60</xdr:row>
      <xdr:rowOff>0</xdr:rowOff>
    </xdr:from>
    <xdr:ext cx="304800" cy="308611"/>
    <xdr:sp macro="" textlink="">
      <xdr:nvSpPr>
        <xdr:cNvPr id="30" name="AutoShape 25" descr="reason">
          <a:extLst>
            <a:ext uri="{FF2B5EF4-FFF2-40B4-BE49-F238E27FC236}">
              <a16:creationId xmlns:a16="http://schemas.microsoft.com/office/drawing/2014/main" id="{D6DDC8A0-155B-4F04-9145-4D7F12EA0E15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8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08535"/>
    <xdr:sp macro="" textlink="">
      <xdr:nvSpPr>
        <xdr:cNvPr id="31" name="AutoShape 13" descr="reason">
          <a:extLst>
            <a:ext uri="{FF2B5EF4-FFF2-40B4-BE49-F238E27FC236}">
              <a16:creationId xmlns:a16="http://schemas.microsoft.com/office/drawing/2014/main" id="{EC828531-869D-49EB-ACC9-F20D84A4622B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8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08535"/>
    <xdr:sp macro="" textlink="">
      <xdr:nvSpPr>
        <xdr:cNvPr id="32" name="AutoShape 14" descr="reason">
          <a:extLst>
            <a:ext uri="{FF2B5EF4-FFF2-40B4-BE49-F238E27FC236}">
              <a16:creationId xmlns:a16="http://schemas.microsoft.com/office/drawing/2014/main" id="{04DB42FD-C2C5-4492-9371-B1428EBD5791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8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08536"/>
    <xdr:sp macro="" textlink="">
      <xdr:nvSpPr>
        <xdr:cNvPr id="33" name="AutoShape 15" descr="reason">
          <a:extLst>
            <a:ext uri="{FF2B5EF4-FFF2-40B4-BE49-F238E27FC236}">
              <a16:creationId xmlns:a16="http://schemas.microsoft.com/office/drawing/2014/main" id="{B9FDC216-420B-41EC-A213-549CD72D5DC8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8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08535"/>
    <xdr:sp macro="" textlink="">
      <xdr:nvSpPr>
        <xdr:cNvPr id="34" name="AutoShape 16" descr="reason">
          <a:extLst>
            <a:ext uri="{FF2B5EF4-FFF2-40B4-BE49-F238E27FC236}">
              <a16:creationId xmlns:a16="http://schemas.microsoft.com/office/drawing/2014/main" id="{FEB38F00-2CE4-478F-AF42-D317F1CCE874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8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08535"/>
    <xdr:sp macro="" textlink="">
      <xdr:nvSpPr>
        <xdr:cNvPr id="35" name="AutoShape 17" descr="reason">
          <a:extLst>
            <a:ext uri="{FF2B5EF4-FFF2-40B4-BE49-F238E27FC236}">
              <a16:creationId xmlns:a16="http://schemas.microsoft.com/office/drawing/2014/main" id="{B7247309-D668-4D60-9E9E-E19F877E9258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8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08536"/>
    <xdr:sp macro="" textlink="">
      <xdr:nvSpPr>
        <xdr:cNvPr id="36" name="AutoShape 18" descr="reason">
          <a:extLst>
            <a:ext uri="{FF2B5EF4-FFF2-40B4-BE49-F238E27FC236}">
              <a16:creationId xmlns:a16="http://schemas.microsoft.com/office/drawing/2014/main" id="{78FA01FC-32B2-4262-A279-3C61CA5F6015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8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115878</xdr:rowOff>
    </xdr:to>
    <xdr:sp macro="" textlink="">
      <xdr:nvSpPr>
        <xdr:cNvPr id="37" name="AutoShape 23" descr="reason">
          <a:extLst>
            <a:ext uri="{FF2B5EF4-FFF2-40B4-BE49-F238E27FC236}">
              <a16:creationId xmlns:a16="http://schemas.microsoft.com/office/drawing/2014/main" id="{CC320935-2B28-47DD-8842-954CD82ABFD1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00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115878</xdr:rowOff>
    </xdr:to>
    <xdr:sp macro="" textlink="">
      <xdr:nvSpPr>
        <xdr:cNvPr id="38" name="AutoShape 24" descr="reason">
          <a:extLst>
            <a:ext uri="{FF2B5EF4-FFF2-40B4-BE49-F238E27FC236}">
              <a16:creationId xmlns:a16="http://schemas.microsoft.com/office/drawing/2014/main" id="{A654740A-D6C4-4F18-ADA5-CDDFFD455CD1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00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115878</xdr:rowOff>
    </xdr:to>
    <xdr:sp macro="" textlink="">
      <xdr:nvSpPr>
        <xdr:cNvPr id="39" name="AutoShape 25" descr="reason">
          <a:extLst>
            <a:ext uri="{FF2B5EF4-FFF2-40B4-BE49-F238E27FC236}">
              <a16:creationId xmlns:a16="http://schemas.microsoft.com/office/drawing/2014/main" id="{D26D6016-11A5-4071-A6E8-5791F5A63D90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00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115878</xdr:rowOff>
    </xdr:to>
    <xdr:sp macro="" textlink="">
      <xdr:nvSpPr>
        <xdr:cNvPr id="40" name="AutoShape 26" descr="reason">
          <a:extLst>
            <a:ext uri="{FF2B5EF4-FFF2-40B4-BE49-F238E27FC236}">
              <a16:creationId xmlns:a16="http://schemas.microsoft.com/office/drawing/2014/main" id="{AEFCC991-1E6F-4FC0-8DB2-2026F122AF28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00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115877</xdr:rowOff>
    </xdr:to>
    <xdr:sp macro="" textlink="">
      <xdr:nvSpPr>
        <xdr:cNvPr id="41" name="AutoShape 27" descr="reason">
          <a:extLst>
            <a:ext uri="{FF2B5EF4-FFF2-40B4-BE49-F238E27FC236}">
              <a16:creationId xmlns:a16="http://schemas.microsoft.com/office/drawing/2014/main" id="{C3637FB5-EB0A-4C96-B3B7-5287A07607D3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0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115878</xdr:rowOff>
    </xdr:to>
    <xdr:sp macro="" textlink="">
      <xdr:nvSpPr>
        <xdr:cNvPr id="42" name="AutoShape 28" descr="reason">
          <a:extLst>
            <a:ext uri="{FF2B5EF4-FFF2-40B4-BE49-F238E27FC236}">
              <a16:creationId xmlns:a16="http://schemas.microsoft.com/office/drawing/2014/main" id="{EE2852D1-A6D3-424B-BC8A-D725817E4EEB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00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115877</xdr:rowOff>
    </xdr:to>
    <xdr:sp macro="" textlink="">
      <xdr:nvSpPr>
        <xdr:cNvPr id="43" name="AutoShape 29" descr="reason">
          <a:extLst>
            <a:ext uri="{FF2B5EF4-FFF2-40B4-BE49-F238E27FC236}">
              <a16:creationId xmlns:a16="http://schemas.microsoft.com/office/drawing/2014/main" id="{DD18DBCD-AC89-4168-B940-FD238B8BAD0E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0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115877</xdr:rowOff>
    </xdr:to>
    <xdr:sp macro="" textlink="">
      <xdr:nvSpPr>
        <xdr:cNvPr id="44" name="AutoShape 30" descr="reason">
          <a:extLst>
            <a:ext uri="{FF2B5EF4-FFF2-40B4-BE49-F238E27FC236}">
              <a16:creationId xmlns:a16="http://schemas.microsoft.com/office/drawing/2014/main" id="{9D7C5B1F-E148-4D76-899B-5D5A6FD9F1BF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0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115878</xdr:rowOff>
    </xdr:to>
    <xdr:sp macro="" textlink="">
      <xdr:nvSpPr>
        <xdr:cNvPr id="45" name="AutoShape 31" descr="reason">
          <a:extLst>
            <a:ext uri="{FF2B5EF4-FFF2-40B4-BE49-F238E27FC236}">
              <a16:creationId xmlns:a16="http://schemas.microsoft.com/office/drawing/2014/main" id="{5A8663B8-C7B9-4816-BF97-D689A0F4512A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00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115875</xdr:rowOff>
    </xdr:to>
    <xdr:sp macro="" textlink="">
      <xdr:nvSpPr>
        <xdr:cNvPr id="46" name="AutoShape 32" descr="reason">
          <a:extLst>
            <a:ext uri="{FF2B5EF4-FFF2-40B4-BE49-F238E27FC236}">
              <a16:creationId xmlns:a16="http://schemas.microsoft.com/office/drawing/2014/main" id="{C4D4747D-587B-4118-B6AB-CC1114546BFF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115875</xdr:rowOff>
    </xdr:to>
    <xdr:sp macro="" textlink="">
      <xdr:nvSpPr>
        <xdr:cNvPr id="47" name="AutoShape 33" descr="reason">
          <a:extLst>
            <a:ext uri="{FF2B5EF4-FFF2-40B4-BE49-F238E27FC236}">
              <a16:creationId xmlns:a16="http://schemas.microsoft.com/office/drawing/2014/main" id="{4D25626A-F732-462C-86A9-66A89363F6A2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115877</xdr:rowOff>
    </xdr:to>
    <xdr:sp macro="" textlink="">
      <xdr:nvSpPr>
        <xdr:cNvPr id="48" name="AutoShape 34" descr="reason">
          <a:extLst>
            <a:ext uri="{FF2B5EF4-FFF2-40B4-BE49-F238E27FC236}">
              <a16:creationId xmlns:a16="http://schemas.microsoft.com/office/drawing/2014/main" id="{C139F41F-F043-4EF0-97B6-8F149625ADAC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0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125646</xdr:rowOff>
    </xdr:to>
    <xdr:sp macro="" textlink="">
      <xdr:nvSpPr>
        <xdr:cNvPr id="49" name="AutoShape 8" descr="reason">
          <a:extLst>
            <a:ext uri="{FF2B5EF4-FFF2-40B4-BE49-F238E27FC236}">
              <a16:creationId xmlns:a16="http://schemas.microsoft.com/office/drawing/2014/main" id="{805EEDE3-D49B-41A3-9F72-E42D69759582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125646</xdr:rowOff>
    </xdr:to>
    <xdr:sp macro="" textlink="">
      <xdr:nvSpPr>
        <xdr:cNvPr id="50" name="AutoShape 9" descr="reason">
          <a:extLst>
            <a:ext uri="{FF2B5EF4-FFF2-40B4-BE49-F238E27FC236}">
              <a16:creationId xmlns:a16="http://schemas.microsoft.com/office/drawing/2014/main" id="{B05267AD-BF9C-42E5-A94D-FF78E2D8C9D4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125646</xdr:rowOff>
    </xdr:to>
    <xdr:sp macro="" textlink="">
      <xdr:nvSpPr>
        <xdr:cNvPr id="51" name="AutoShape 10" descr="reason">
          <a:extLst>
            <a:ext uri="{FF2B5EF4-FFF2-40B4-BE49-F238E27FC236}">
              <a16:creationId xmlns:a16="http://schemas.microsoft.com/office/drawing/2014/main" id="{5457F8CD-C4DC-4230-AB9A-C42E90C43E16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125646</xdr:rowOff>
    </xdr:to>
    <xdr:sp macro="" textlink="">
      <xdr:nvSpPr>
        <xdr:cNvPr id="52" name="AutoShape 11" descr="reason">
          <a:extLst>
            <a:ext uri="{FF2B5EF4-FFF2-40B4-BE49-F238E27FC236}">
              <a16:creationId xmlns:a16="http://schemas.microsoft.com/office/drawing/2014/main" id="{6BC8038A-8150-417D-9B88-5D5D923CF7AF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125646</xdr:rowOff>
    </xdr:to>
    <xdr:sp macro="" textlink="">
      <xdr:nvSpPr>
        <xdr:cNvPr id="53" name="AutoShape 12" descr="reason">
          <a:extLst>
            <a:ext uri="{FF2B5EF4-FFF2-40B4-BE49-F238E27FC236}">
              <a16:creationId xmlns:a16="http://schemas.microsoft.com/office/drawing/2014/main" id="{01E049BB-69FC-44B5-B413-ECCA352A20F8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125645</xdr:rowOff>
    </xdr:to>
    <xdr:sp macro="" textlink="">
      <xdr:nvSpPr>
        <xdr:cNvPr id="54" name="AutoShape 13" descr="reason">
          <a:extLst>
            <a:ext uri="{FF2B5EF4-FFF2-40B4-BE49-F238E27FC236}">
              <a16:creationId xmlns:a16="http://schemas.microsoft.com/office/drawing/2014/main" id="{7CD6CB4B-9B65-488E-B3AA-301927C61FD5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125644</xdr:rowOff>
    </xdr:to>
    <xdr:sp macro="" textlink="">
      <xdr:nvSpPr>
        <xdr:cNvPr id="55" name="AutoShape 4" descr="reason">
          <a:extLst>
            <a:ext uri="{FF2B5EF4-FFF2-40B4-BE49-F238E27FC236}">
              <a16:creationId xmlns:a16="http://schemas.microsoft.com/office/drawing/2014/main" id="{5B22EFEE-0F23-493E-8F9B-C748A1DC715B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125645</xdr:rowOff>
    </xdr:to>
    <xdr:sp macro="" textlink="">
      <xdr:nvSpPr>
        <xdr:cNvPr id="56" name="AutoShape 5" descr="reason">
          <a:extLst>
            <a:ext uri="{FF2B5EF4-FFF2-40B4-BE49-F238E27FC236}">
              <a16:creationId xmlns:a16="http://schemas.microsoft.com/office/drawing/2014/main" id="{2A1C3491-9ED3-4467-B773-B633778F4253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125645</xdr:rowOff>
    </xdr:to>
    <xdr:sp macro="" textlink="">
      <xdr:nvSpPr>
        <xdr:cNvPr id="57" name="AutoShape 6" descr="reason">
          <a:extLst>
            <a:ext uri="{FF2B5EF4-FFF2-40B4-BE49-F238E27FC236}">
              <a16:creationId xmlns:a16="http://schemas.microsoft.com/office/drawing/2014/main" id="{A6A8FBD5-8E12-43FF-930B-633CC275784C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125645</xdr:rowOff>
    </xdr:to>
    <xdr:sp macro="" textlink="">
      <xdr:nvSpPr>
        <xdr:cNvPr id="58" name="AutoShape 7" descr="reason">
          <a:extLst>
            <a:ext uri="{FF2B5EF4-FFF2-40B4-BE49-F238E27FC236}">
              <a16:creationId xmlns:a16="http://schemas.microsoft.com/office/drawing/2014/main" id="{814AFA23-FCC4-4F9F-B4DC-9560C0F49968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125645</xdr:rowOff>
    </xdr:to>
    <xdr:sp macro="" textlink="">
      <xdr:nvSpPr>
        <xdr:cNvPr id="59" name="AutoShape 8" descr="reason">
          <a:extLst>
            <a:ext uri="{FF2B5EF4-FFF2-40B4-BE49-F238E27FC236}">
              <a16:creationId xmlns:a16="http://schemas.microsoft.com/office/drawing/2014/main" id="{D626CD95-9B93-4035-89E6-AF3AF3CB4BC8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125645</xdr:rowOff>
    </xdr:to>
    <xdr:sp macro="" textlink="">
      <xdr:nvSpPr>
        <xdr:cNvPr id="60" name="AutoShape 9" descr="reason">
          <a:extLst>
            <a:ext uri="{FF2B5EF4-FFF2-40B4-BE49-F238E27FC236}">
              <a16:creationId xmlns:a16="http://schemas.microsoft.com/office/drawing/2014/main" id="{8F780E6B-D9EF-4F06-B37E-C5A750EFA747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125645</xdr:rowOff>
    </xdr:to>
    <xdr:sp macro="" textlink="">
      <xdr:nvSpPr>
        <xdr:cNvPr id="61" name="AutoShape 10" descr="reason">
          <a:extLst>
            <a:ext uri="{FF2B5EF4-FFF2-40B4-BE49-F238E27FC236}">
              <a16:creationId xmlns:a16="http://schemas.microsoft.com/office/drawing/2014/main" id="{70F08016-4D5A-436E-AB9E-C90468F869BF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125644</xdr:rowOff>
    </xdr:to>
    <xdr:sp macro="" textlink="">
      <xdr:nvSpPr>
        <xdr:cNvPr id="62" name="AutoShape 11" descr="reason">
          <a:extLst>
            <a:ext uri="{FF2B5EF4-FFF2-40B4-BE49-F238E27FC236}">
              <a16:creationId xmlns:a16="http://schemas.microsoft.com/office/drawing/2014/main" id="{E48B0AC4-07AA-4439-93EF-34CCEA0CE20B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125645</xdr:rowOff>
    </xdr:to>
    <xdr:sp macro="" textlink="">
      <xdr:nvSpPr>
        <xdr:cNvPr id="63" name="AutoShape 15" descr="reason">
          <a:extLst>
            <a:ext uri="{FF2B5EF4-FFF2-40B4-BE49-F238E27FC236}">
              <a16:creationId xmlns:a16="http://schemas.microsoft.com/office/drawing/2014/main" id="{9262EF81-0588-44C0-B910-B0EC357D638F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125645</xdr:rowOff>
    </xdr:to>
    <xdr:sp macro="" textlink="">
      <xdr:nvSpPr>
        <xdr:cNvPr id="64" name="AutoShape 16" descr="reason">
          <a:extLst>
            <a:ext uri="{FF2B5EF4-FFF2-40B4-BE49-F238E27FC236}">
              <a16:creationId xmlns:a16="http://schemas.microsoft.com/office/drawing/2014/main" id="{E58138C1-B859-402A-A226-F264F5C6BFB1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125644</xdr:rowOff>
    </xdr:to>
    <xdr:sp macro="" textlink="">
      <xdr:nvSpPr>
        <xdr:cNvPr id="65" name="AutoShape 17" descr="reason">
          <a:extLst>
            <a:ext uri="{FF2B5EF4-FFF2-40B4-BE49-F238E27FC236}">
              <a16:creationId xmlns:a16="http://schemas.microsoft.com/office/drawing/2014/main" id="{EA57CA12-37EB-4196-91E5-07A0789A8087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125645</xdr:rowOff>
    </xdr:to>
    <xdr:sp macro="" textlink="">
      <xdr:nvSpPr>
        <xdr:cNvPr id="66" name="AutoShape 18" descr="reason">
          <a:extLst>
            <a:ext uri="{FF2B5EF4-FFF2-40B4-BE49-F238E27FC236}">
              <a16:creationId xmlns:a16="http://schemas.microsoft.com/office/drawing/2014/main" id="{732E260B-E829-4209-82F2-CF3FD9707010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125645</xdr:rowOff>
    </xdr:to>
    <xdr:sp macro="" textlink="">
      <xdr:nvSpPr>
        <xdr:cNvPr id="67" name="AutoShape 19" descr="reason">
          <a:extLst>
            <a:ext uri="{FF2B5EF4-FFF2-40B4-BE49-F238E27FC236}">
              <a16:creationId xmlns:a16="http://schemas.microsoft.com/office/drawing/2014/main" id="{8BB6E307-256B-4A49-8B13-0F2AF69F0CE0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125645</xdr:rowOff>
    </xdr:to>
    <xdr:sp macro="" textlink="">
      <xdr:nvSpPr>
        <xdr:cNvPr id="68" name="AutoShape 20" descr="reason">
          <a:extLst>
            <a:ext uri="{FF2B5EF4-FFF2-40B4-BE49-F238E27FC236}">
              <a16:creationId xmlns:a16="http://schemas.microsoft.com/office/drawing/2014/main" id="{71450E18-0C01-4C3D-A527-33D4EFA75C4B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125645</xdr:rowOff>
    </xdr:to>
    <xdr:sp macro="" textlink="">
      <xdr:nvSpPr>
        <xdr:cNvPr id="69" name="AutoShape 21" descr="reason">
          <a:extLst>
            <a:ext uri="{FF2B5EF4-FFF2-40B4-BE49-F238E27FC236}">
              <a16:creationId xmlns:a16="http://schemas.microsoft.com/office/drawing/2014/main" id="{BCF8EFAB-18D1-4A62-B973-84981681FBFC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125645</xdr:rowOff>
    </xdr:to>
    <xdr:sp macro="" textlink="">
      <xdr:nvSpPr>
        <xdr:cNvPr id="70" name="AutoShape 22" descr="reason">
          <a:extLst>
            <a:ext uri="{FF2B5EF4-FFF2-40B4-BE49-F238E27FC236}">
              <a16:creationId xmlns:a16="http://schemas.microsoft.com/office/drawing/2014/main" id="{C1BB5C34-9090-4C13-9F2F-4581CFCC0720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122051</xdr:rowOff>
    </xdr:to>
    <xdr:sp macro="" textlink="">
      <xdr:nvSpPr>
        <xdr:cNvPr id="71" name="AutoShape 26" descr="reason">
          <a:extLst>
            <a:ext uri="{FF2B5EF4-FFF2-40B4-BE49-F238E27FC236}">
              <a16:creationId xmlns:a16="http://schemas.microsoft.com/office/drawing/2014/main" id="{E33221DA-2018-4643-8FB8-281871182EC8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6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122050</xdr:rowOff>
    </xdr:to>
    <xdr:sp macro="" textlink="">
      <xdr:nvSpPr>
        <xdr:cNvPr id="72" name="AutoShape 27" descr="reason">
          <a:extLst>
            <a:ext uri="{FF2B5EF4-FFF2-40B4-BE49-F238E27FC236}">
              <a16:creationId xmlns:a16="http://schemas.microsoft.com/office/drawing/2014/main" id="{BFE6F664-FC8B-42FF-990A-216E8ABDB5A4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122051</xdr:rowOff>
    </xdr:to>
    <xdr:sp macro="" textlink="">
      <xdr:nvSpPr>
        <xdr:cNvPr id="73" name="AutoShape 28" descr="reason">
          <a:extLst>
            <a:ext uri="{FF2B5EF4-FFF2-40B4-BE49-F238E27FC236}">
              <a16:creationId xmlns:a16="http://schemas.microsoft.com/office/drawing/2014/main" id="{0FD00BC4-FC5E-4194-A422-F900D7926F5F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6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122051</xdr:rowOff>
    </xdr:to>
    <xdr:sp macro="" textlink="">
      <xdr:nvSpPr>
        <xdr:cNvPr id="74" name="AutoShape 29" descr="reason">
          <a:extLst>
            <a:ext uri="{FF2B5EF4-FFF2-40B4-BE49-F238E27FC236}">
              <a16:creationId xmlns:a16="http://schemas.microsoft.com/office/drawing/2014/main" id="{25FBAE65-64B2-4217-8282-1460FAFEFCC3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6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122050</xdr:rowOff>
    </xdr:to>
    <xdr:sp macro="" textlink="">
      <xdr:nvSpPr>
        <xdr:cNvPr id="75" name="AutoShape 30" descr="reason">
          <a:extLst>
            <a:ext uri="{FF2B5EF4-FFF2-40B4-BE49-F238E27FC236}">
              <a16:creationId xmlns:a16="http://schemas.microsoft.com/office/drawing/2014/main" id="{1DF50C84-EBE5-4333-B5F8-D56B0479356C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122051</xdr:rowOff>
    </xdr:to>
    <xdr:sp macro="" textlink="">
      <xdr:nvSpPr>
        <xdr:cNvPr id="76" name="AutoShape 31" descr="reason">
          <a:extLst>
            <a:ext uri="{FF2B5EF4-FFF2-40B4-BE49-F238E27FC236}">
              <a16:creationId xmlns:a16="http://schemas.microsoft.com/office/drawing/2014/main" id="{9D7ADE27-1F86-4FBD-86FD-6AD261839850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6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122050</xdr:rowOff>
    </xdr:to>
    <xdr:sp macro="" textlink="">
      <xdr:nvSpPr>
        <xdr:cNvPr id="77" name="AutoShape 32" descr="reason">
          <a:extLst>
            <a:ext uri="{FF2B5EF4-FFF2-40B4-BE49-F238E27FC236}">
              <a16:creationId xmlns:a16="http://schemas.microsoft.com/office/drawing/2014/main" id="{6BF9626F-310F-4932-9690-D69BC682B0D6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122051</xdr:rowOff>
    </xdr:to>
    <xdr:sp macro="" textlink="">
      <xdr:nvSpPr>
        <xdr:cNvPr id="78" name="AutoShape 33" descr="reason">
          <a:extLst>
            <a:ext uri="{FF2B5EF4-FFF2-40B4-BE49-F238E27FC236}">
              <a16:creationId xmlns:a16="http://schemas.microsoft.com/office/drawing/2014/main" id="{815D9AB5-CC15-4C3C-B18D-5BCB134F5C53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6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122052</xdr:rowOff>
    </xdr:to>
    <xdr:sp macro="" textlink="">
      <xdr:nvSpPr>
        <xdr:cNvPr id="79" name="AutoShape 34" descr="reason">
          <a:extLst>
            <a:ext uri="{FF2B5EF4-FFF2-40B4-BE49-F238E27FC236}">
              <a16:creationId xmlns:a16="http://schemas.microsoft.com/office/drawing/2014/main" id="{AA6EA956-3D31-49A4-A76A-78CF031DCC33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62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122051</xdr:rowOff>
    </xdr:to>
    <xdr:sp macro="" textlink="">
      <xdr:nvSpPr>
        <xdr:cNvPr id="80" name="AutoShape 35" descr="reason">
          <a:extLst>
            <a:ext uri="{FF2B5EF4-FFF2-40B4-BE49-F238E27FC236}">
              <a16:creationId xmlns:a16="http://schemas.microsoft.com/office/drawing/2014/main" id="{2AE49FCE-9773-44DF-8A16-0996D6FC27F0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6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122050</xdr:rowOff>
    </xdr:to>
    <xdr:sp macro="" textlink="">
      <xdr:nvSpPr>
        <xdr:cNvPr id="81" name="AutoShape 36" descr="reason">
          <a:extLst>
            <a:ext uri="{FF2B5EF4-FFF2-40B4-BE49-F238E27FC236}">
              <a16:creationId xmlns:a16="http://schemas.microsoft.com/office/drawing/2014/main" id="{76DDA303-3661-470E-BFA8-DBD693700E30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122051</xdr:rowOff>
    </xdr:to>
    <xdr:sp macro="" textlink="">
      <xdr:nvSpPr>
        <xdr:cNvPr id="82" name="AutoShape 37" descr="reason">
          <a:extLst>
            <a:ext uri="{FF2B5EF4-FFF2-40B4-BE49-F238E27FC236}">
              <a16:creationId xmlns:a16="http://schemas.microsoft.com/office/drawing/2014/main" id="{7D59536A-36AD-438E-A454-E25CBC5B992E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6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122050</xdr:rowOff>
    </xdr:to>
    <xdr:sp macro="" textlink="">
      <xdr:nvSpPr>
        <xdr:cNvPr id="83" name="AutoShape 38" descr="reason">
          <a:extLst>
            <a:ext uri="{FF2B5EF4-FFF2-40B4-BE49-F238E27FC236}">
              <a16:creationId xmlns:a16="http://schemas.microsoft.com/office/drawing/2014/main" id="{8168551D-0B47-4A32-A647-E6DB707E8A22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122051</xdr:rowOff>
    </xdr:to>
    <xdr:sp macro="" textlink="">
      <xdr:nvSpPr>
        <xdr:cNvPr id="84" name="AutoShape 39" descr="reason">
          <a:extLst>
            <a:ext uri="{FF2B5EF4-FFF2-40B4-BE49-F238E27FC236}">
              <a16:creationId xmlns:a16="http://schemas.microsoft.com/office/drawing/2014/main" id="{FF2BC15F-7A91-4AEF-8CB6-0D5DAC04F048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6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122049</xdr:rowOff>
    </xdr:to>
    <xdr:sp macro="" textlink="">
      <xdr:nvSpPr>
        <xdr:cNvPr id="85" name="AutoShape 40" descr="reason">
          <a:extLst>
            <a:ext uri="{FF2B5EF4-FFF2-40B4-BE49-F238E27FC236}">
              <a16:creationId xmlns:a16="http://schemas.microsoft.com/office/drawing/2014/main" id="{A00965DB-2789-42BB-81E5-FEB2F76AEEA5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6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122052</xdr:rowOff>
    </xdr:to>
    <xdr:sp macro="" textlink="">
      <xdr:nvSpPr>
        <xdr:cNvPr id="86" name="AutoShape 41" descr="reason">
          <a:extLst>
            <a:ext uri="{FF2B5EF4-FFF2-40B4-BE49-F238E27FC236}">
              <a16:creationId xmlns:a16="http://schemas.microsoft.com/office/drawing/2014/main" id="{EE35BA64-4522-4D63-AD45-E74ADB0257A4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62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61</xdr:row>
      <xdr:rowOff>0</xdr:rowOff>
    </xdr:from>
    <xdr:ext cx="304800" cy="307600"/>
    <xdr:sp macro="" textlink="">
      <xdr:nvSpPr>
        <xdr:cNvPr id="87" name="AutoShape 2" descr="reason">
          <a:extLst>
            <a:ext uri="{FF2B5EF4-FFF2-40B4-BE49-F238E27FC236}">
              <a16:creationId xmlns:a16="http://schemas.microsoft.com/office/drawing/2014/main" id="{3AC0E144-9953-4227-B656-2D2163F8550D}"/>
            </a:ext>
            <a:ext uri="{147F2762-F138-4A5C-976F-8EAC2B608ADB}">
              <a16:predDERef xmlns:a16="http://schemas.microsoft.com/office/drawing/2014/main" pred="{1154A518-BC03-51A8-AC6B-91F6E479E52F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07600"/>
    <xdr:sp macro="" textlink="">
      <xdr:nvSpPr>
        <xdr:cNvPr id="88" name="AutoShape 3" descr="reason">
          <a:extLst>
            <a:ext uri="{FF2B5EF4-FFF2-40B4-BE49-F238E27FC236}">
              <a16:creationId xmlns:a16="http://schemas.microsoft.com/office/drawing/2014/main" id="{7CBB4C75-6B8A-4AFA-AFAA-E763947D935C}"/>
            </a:ext>
            <a:ext uri="{147F2762-F138-4A5C-976F-8EAC2B608ADB}">
              <a16:predDERef xmlns:a16="http://schemas.microsoft.com/office/drawing/2014/main" pred="{8837A0D5-8036-4217-A4CF-B61E5697BB09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07601"/>
    <xdr:sp macro="" textlink="">
      <xdr:nvSpPr>
        <xdr:cNvPr id="89" name="AutoShape 4" descr="reason">
          <a:extLst>
            <a:ext uri="{FF2B5EF4-FFF2-40B4-BE49-F238E27FC236}">
              <a16:creationId xmlns:a16="http://schemas.microsoft.com/office/drawing/2014/main" id="{1F151E3F-DAEA-496A-BCC3-A804D0BB489F}"/>
            </a:ext>
            <a:ext uri="{147F2762-F138-4A5C-976F-8EAC2B608ADB}">
              <a16:predDERef xmlns:a16="http://schemas.microsoft.com/office/drawing/2014/main" pred="{FC6B4770-805C-4057-AB54-2C59AF9E896E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7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07599"/>
    <xdr:sp macro="" textlink="">
      <xdr:nvSpPr>
        <xdr:cNvPr id="90" name="AutoShape 5" descr="reason">
          <a:extLst>
            <a:ext uri="{FF2B5EF4-FFF2-40B4-BE49-F238E27FC236}">
              <a16:creationId xmlns:a16="http://schemas.microsoft.com/office/drawing/2014/main" id="{3B07ACE0-536E-4B26-8583-EAD001624195}"/>
            </a:ext>
            <a:ext uri="{147F2762-F138-4A5C-976F-8EAC2B608ADB}">
              <a16:predDERef xmlns:a16="http://schemas.microsoft.com/office/drawing/2014/main" pred="{1AE94E10-BE39-4186-B7F0-46464DFD6EAE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7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09501"/>
    <xdr:sp macro="" textlink="">
      <xdr:nvSpPr>
        <xdr:cNvPr id="91" name="AutoShape 7" descr="reason">
          <a:extLst>
            <a:ext uri="{FF2B5EF4-FFF2-40B4-BE49-F238E27FC236}">
              <a16:creationId xmlns:a16="http://schemas.microsoft.com/office/drawing/2014/main" id="{F1203DD8-1E7B-4E0C-BA54-CD8EFB529598}"/>
            </a:ext>
            <a:ext uri="{147F2762-F138-4A5C-976F-8EAC2B608ADB}">
              <a16:predDERef xmlns:a16="http://schemas.microsoft.com/office/drawing/2014/main" pred="{7BCB099B-8DE5-4533-BF2C-CE15E5978347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09501"/>
    <xdr:sp macro="" textlink="">
      <xdr:nvSpPr>
        <xdr:cNvPr id="92" name="AutoShape 8" descr="reason">
          <a:extLst>
            <a:ext uri="{FF2B5EF4-FFF2-40B4-BE49-F238E27FC236}">
              <a16:creationId xmlns:a16="http://schemas.microsoft.com/office/drawing/2014/main" id="{AAE929C4-173E-40F0-A0FC-68F5EA120AEF}"/>
            </a:ext>
            <a:ext uri="{147F2762-F138-4A5C-976F-8EAC2B608ADB}">
              <a16:predDERef xmlns:a16="http://schemas.microsoft.com/office/drawing/2014/main" pred="{2A8A7A2C-FCA9-47B7-8AB3-71F4EBB1CCA5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09501"/>
    <xdr:sp macro="" textlink="">
      <xdr:nvSpPr>
        <xdr:cNvPr id="93" name="AutoShape 9" descr="reason">
          <a:extLst>
            <a:ext uri="{FF2B5EF4-FFF2-40B4-BE49-F238E27FC236}">
              <a16:creationId xmlns:a16="http://schemas.microsoft.com/office/drawing/2014/main" id="{A79FABB3-C4F9-4F7B-B531-EE74B21486B7}"/>
            </a:ext>
            <a:ext uri="{147F2762-F138-4A5C-976F-8EAC2B608ADB}">
              <a16:predDERef xmlns:a16="http://schemas.microsoft.com/office/drawing/2014/main" pred="{5C1AE05A-EA8E-4F5C-AA4B-1DEEB42EED81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09501"/>
    <xdr:sp macro="" textlink="">
      <xdr:nvSpPr>
        <xdr:cNvPr id="94" name="AutoShape 10" descr="reason">
          <a:extLst>
            <a:ext uri="{FF2B5EF4-FFF2-40B4-BE49-F238E27FC236}">
              <a16:creationId xmlns:a16="http://schemas.microsoft.com/office/drawing/2014/main" id="{FB4CDA32-48DB-4384-A502-9C530A2B52B1}"/>
            </a:ext>
            <a:ext uri="{147F2762-F138-4A5C-976F-8EAC2B608ADB}">
              <a16:predDERef xmlns:a16="http://schemas.microsoft.com/office/drawing/2014/main" pred="{4F2697CF-4975-4794-B11F-F05A562932C7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09501"/>
    <xdr:sp macro="" textlink="">
      <xdr:nvSpPr>
        <xdr:cNvPr id="95" name="AutoShape 11" descr="reason">
          <a:extLst>
            <a:ext uri="{FF2B5EF4-FFF2-40B4-BE49-F238E27FC236}">
              <a16:creationId xmlns:a16="http://schemas.microsoft.com/office/drawing/2014/main" id="{B616A87C-59CD-4D57-904C-2FA4402065EC}"/>
            </a:ext>
            <a:ext uri="{147F2762-F138-4A5C-976F-8EAC2B608ADB}">
              <a16:predDERef xmlns:a16="http://schemas.microsoft.com/office/drawing/2014/main" pred="{9FAD290C-338F-4064-AB93-E5D405B2A6CF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09501"/>
    <xdr:sp macro="" textlink="">
      <xdr:nvSpPr>
        <xdr:cNvPr id="96" name="AutoShape 12" descr="reason">
          <a:extLst>
            <a:ext uri="{FF2B5EF4-FFF2-40B4-BE49-F238E27FC236}">
              <a16:creationId xmlns:a16="http://schemas.microsoft.com/office/drawing/2014/main" id="{61619BCB-4FA4-44E7-80A4-75ACB7391648}"/>
            </a:ext>
            <a:ext uri="{147F2762-F138-4A5C-976F-8EAC2B608ADB}">
              <a16:predDERef xmlns:a16="http://schemas.microsoft.com/office/drawing/2014/main" pred="{31BB8B47-ABE6-4917-A747-24872E42DB12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09502"/>
    <xdr:sp macro="" textlink="">
      <xdr:nvSpPr>
        <xdr:cNvPr id="97" name="AutoShape 13" descr="reason">
          <a:extLst>
            <a:ext uri="{FF2B5EF4-FFF2-40B4-BE49-F238E27FC236}">
              <a16:creationId xmlns:a16="http://schemas.microsoft.com/office/drawing/2014/main" id="{4FB4C433-BE9E-4AA5-AED5-CF66467622AA}"/>
            </a:ext>
            <a:ext uri="{147F2762-F138-4A5C-976F-8EAC2B608ADB}">
              <a16:predDERef xmlns:a16="http://schemas.microsoft.com/office/drawing/2014/main" pred="{E960CECA-9B43-405F-AE71-3EE9C6741C84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09501"/>
    <xdr:sp macro="" textlink="">
      <xdr:nvSpPr>
        <xdr:cNvPr id="98" name="AutoShape 14" descr="reason">
          <a:extLst>
            <a:ext uri="{FF2B5EF4-FFF2-40B4-BE49-F238E27FC236}">
              <a16:creationId xmlns:a16="http://schemas.microsoft.com/office/drawing/2014/main" id="{70BD099F-06E3-4056-80D8-05C6959DB745}"/>
            </a:ext>
            <a:ext uri="{147F2762-F138-4A5C-976F-8EAC2B608ADB}">
              <a16:predDERef xmlns:a16="http://schemas.microsoft.com/office/drawing/2014/main" pred="{2F80B55F-6B0E-4E11-8A5B-821E4667BBAD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9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19743"/>
    <xdr:sp macro="" textlink="">
      <xdr:nvSpPr>
        <xdr:cNvPr id="99" name="AutoShape 2" descr="reason">
          <a:extLst>
            <a:ext uri="{FF2B5EF4-FFF2-40B4-BE49-F238E27FC236}">
              <a16:creationId xmlns:a16="http://schemas.microsoft.com/office/drawing/2014/main" id="{590DF9C1-EE82-48DF-8A5D-A50921B6F57B}"/>
            </a:ext>
            <a:ext uri="{147F2762-F138-4A5C-976F-8EAC2B608ADB}">
              <a16:predDERef xmlns:a16="http://schemas.microsoft.com/office/drawing/2014/main" pred="{8E4D878A-8E5B-49E6-AF34-78B3A980A757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19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19744"/>
    <xdr:sp macro="" textlink="">
      <xdr:nvSpPr>
        <xdr:cNvPr id="100" name="AutoShape 3" descr="reason">
          <a:extLst>
            <a:ext uri="{FF2B5EF4-FFF2-40B4-BE49-F238E27FC236}">
              <a16:creationId xmlns:a16="http://schemas.microsoft.com/office/drawing/2014/main" id="{BDE45A36-C400-4BA6-ADFD-C04416B06B21}"/>
            </a:ext>
            <a:ext uri="{147F2762-F138-4A5C-976F-8EAC2B608ADB}">
              <a16:predDERef xmlns:a16="http://schemas.microsoft.com/office/drawing/2014/main" pred="{48A18E52-70A5-4802-928B-80BF847DB19F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19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19744"/>
    <xdr:sp macro="" textlink="">
      <xdr:nvSpPr>
        <xdr:cNvPr id="101" name="AutoShape 4" descr="reason">
          <a:extLst>
            <a:ext uri="{FF2B5EF4-FFF2-40B4-BE49-F238E27FC236}">
              <a16:creationId xmlns:a16="http://schemas.microsoft.com/office/drawing/2014/main" id="{07270535-BB4B-476D-9923-CF5BCA21EAF3}"/>
            </a:ext>
            <a:ext uri="{147F2762-F138-4A5C-976F-8EAC2B608ADB}">
              <a16:predDERef xmlns:a16="http://schemas.microsoft.com/office/drawing/2014/main" pred="{58909A42-E020-44A2-8976-7057CCC22968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19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19744"/>
    <xdr:sp macro="" textlink="">
      <xdr:nvSpPr>
        <xdr:cNvPr id="102" name="AutoShape 5" descr="reason">
          <a:extLst>
            <a:ext uri="{FF2B5EF4-FFF2-40B4-BE49-F238E27FC236}">
              <a16:creationId xmlns:a16="http://schemas.microsoft.com/office/drawing/2014/main" id="{0CAF766A-645F-44E3-A047-3F9DC3E370AC}"/>
            </a:ext>
            <a:ext uri="{147F2762-F138-4A5C-976F-8EAC2B608ADB}">
              <a16:predDERef xmlns:a16="http://schemas.microsoft.com/office/drawing/2014/main" pred="{EC56BBF6-8D9C-42AC-B7D9-0E3378C931BB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19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19744"/>
    <xdr:sp macro="" textlink="">
      <xdr:nvSpPr>
        <xdr:cNvPr id="103" name="AutoShape 6" descr="reason">
          <a:extLst>
            <a:ext uri="{FF2B5EF4-FFF2-40B4-BE49-F238E27FC236}">
              <a16:creationId xmlns:a16="http://schemas.microsoft.com/office/drawing/2014/main" id="{A043BF18-8738-44FC-9117-8C2E0E0025EC}"/>
            </a:ext>
            <a:ext uri="{147F2762-F138-4A5C-976F-8EAC2B608ADB}">
              <a16:predDERef xmlns:a16="http://schemas.microsoft.com/office/drawing/2014/main" pred="{085A5B2D-8737-47F3-9077-6DE4D84AEC07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19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16450"/>
    <xdr:sp macro="" textlink="">
      <xdr:nvSpPr>
        <xdr:cNvPr id="104" name="AutoShape 12" descr="reason">
          <a:extLst>
            <a:ext uri="{FF2B5EF4-FFF2-40B4-BE49-F238E27FC236}">
              <a16:creationId xmlns:a16="http://schemas.microsoft.com/office/drawing/2014/main" id="{27B85127-22BF-4A11-9C4C-109379623DF4}"/>
            </a:ext>
            <a:ext uri="{147F2762-F138-4A5C-976F-8EAC2B608ADB}">
              <a16:predDERef xmlns:a16="http://schemas.microsoft.com/office/drawing/2014/main" pred="{482555E8-C279-47E4-AEBB-61F3A6383826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1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16450"/>
    <xdr:sp macro="" textlink="">
      <xdr:nvSpPr>
        <xdr:cNvPr id="105" name="AutoShape 13" descr="reason">
          <a:extLst>
            <a:ext uri="{FF2B5EF4-FFF2-40B4-BE49-F238E27FC236}">
              <a16:creationId xmlns:a16="http://schemas.microsoft.com/office/drawing/2014/main" id="{046910FF-9ABF-4D91-9A74-D0DC2994F6E1}"/>
            </a:ext>
            <a:ext uri="{147F2762-F138-4A5C-976F-8EAC2B608ADB}">
              <a16:predDERef xmlns:a16="http://schemas.microsoft.com/office/drawing/2014/main" pred="{E195BA80-1A78-4717-A072-DEC192CC09FD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1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16450"/>
    <xdr:sp macro="" textlink="">
      <xdr:nvSpPr>
        <xdr:cNvPr id="106" name="AutoShape 14" descr="reason">
          <a:extLst>
            <a:ext uri="{FF2B5EF4-FFF2-40B4-BE49-F238E27FC236}">
              <a16:creationId xmlns:a16="http://schemas.microsoft.com/office/drawing/2014/main" id="{79BAFC26-2851-4876-9F84-6C74C12A20F1}"/>
            </a:ext>
            <a:ext uri="{147F2762-F138-4A5C-976F-8EAC2B608ADB}">
              <a16:predDERef xmlns:a16="http://schemas.microsoft.com/office/drawing/2014/main" pred="{710479CC-E575-4E16-A226-0AAE082DD0F6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1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16450"/>
    <xdr:sp macro="" textlink="">
      <xdr:nvSpPr>
        <xdr:cNvPr id="107" name="AutoShape 15" descr="reason">
          <a:extLst>
            <a:ext uri="{FF2B5EF4-FFF2-40B4-BE49-F238E27FC236}">
              <a16:creationId xmlns:a16="http://schemas.microsoft.com/office/drawing/2014/main" id="{CBA3B672-FD99-4949-B66F-4CEA888FAE58}"/>
            </a:ext>
            <a:ext uri="{147F2762-F138-4A5C-976F-8EAC2B608ADB}">
              <a16:predDERef xmlns:a16="http://schemas.microsoft.com/office/drawing/2014/main" pred="{6465E64B-2D74-4C5A-B916-AEED43225FBF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1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16451"/>
    <xdr:sp macro="" textlink="">
      <xdr:nvSpPr>
        <xdr:cNvPr id="108" name="AutoShape 16" descr="reason">
          <a:extLst>
            <a:ext uri="{FF2B5EF4-FFF2-40B4-BE49-F238E27FC236}">
              <a16:creationId xmlns:a16="http://schemas.microsoft.com/office/drawing/2014/main" id="{7AF41324-CC1B-43B4-AA0F-B297F9C61A5A}"/>
            </a:ext>
            <a:ext uri="{147F2762-F138-4A5C-976F-8EAC2B608ADB}">
              <a16:predDERef xmlns:a16="http://schemas.microsoft.com/office/drawing/2014/main" pred="{5B93ACE3-0B24-4543-B147-54BC7AFB89E6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16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16450"/>
    <xdr:sp macro="" textlink="">
      <xdr:nvSpPr>
        <xdr:cNvPr id="109" name="AutoShape 17" descr="reason">
          <a:extLst>
            <a:ext uri="{FF2B5EF4-FFF2-40B4-BE49-F238E27FC236}">
              <a16:creationId xmlns:a16="http://schemas.microsoft.com/office/drawing/2014/main" id="{CF55EF6F-C5E6-4BAB-9F24-2A530B219323}"/>
            </a:ext>
            <a:ext uri="{147F2762-F138-4A5C-976F-8EAC2B608ADB}">
              <a16:predDERef xmlns:a16="http://schemas.microsoft.com/office/drawing/2014/main" pred="{76DAC5A9-3395-4C7E-AFBF-06A22B97F9C9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1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08611"/>
    <xdr:sp macro="" textlink="">
      <xdr:nvSpPr>
        <xdr:cNvPr id="110" name="AutoShape 20" descr="reason">
          <a:extLst>
            <a:ext uri="{FF2B5EF4-FFF2-40B4-BE49-F238E27FC236}">
              <a16:creationId xmlns:a16="http://schemas.microsoft.com/office/drawing/2014/main" id="{B211C128-8132-4FFC-8B33-1DF82BEF9C35}"/>
            </a:ext>
            <a:ext uri="{147F2762-F138-4A5C-976F-8EAC2B608ADB}">
              <a16:predDERef xmlns:a16="http://schemas.microsoft.com/office/drawing/2014/main" pred="{B84829B1-91EC-4E01-8609-0591AB68F35E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8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08610"/>
    <xdr:sp macro="" textlink="">
      <xdr:nvSpPr>
        <xdr:cNvPr id="111" name="AutoShape 21" descr="reason">
          <a:extLst>
            <a:ext uri="{FF2B5EF4-FFF2-40B4-BE49-F238E27FC236}">
              <a16:creationId xmlns:a16="http://schemas.microsoft.com/office/drawing/2014/main" id="{EB751DAF-C964-4A78-8369-1D32E1291658}"/>
            </a:ext>
            <a:ext uri="{147F2762-F138-4A5C-976F-8EAC2B608ADB}">
              <a16:predDERef xmlns:a16="http://schemas.microsoft.com/office/drawing/2014/main" pred="{609829B1-A908-4731-8D62-020FB98D5FDD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08611"/>
    <xdr:sp macro="" textlink="">
      <xdr:nvSpPr>
        <xdr:cNvPr id="112" name="AutoShape 22" descr="reason">
          <a:extLst>
            <a:ext uri="{FF2B5EF4-FFF2-40B4-BE49-F238E27FC236}">
              <a16:creationId xmlns:a16="http://schemas.microsoft.com/office/drawing/2014/main" id="{62DF311B-C4DB-4FEC-9627-BC69AC97FDB6}"/>
            </a:ext>
            <a:ext uri="{147F2762-F138-4A5C-976F-8EAC2B608ADB}">
              <a16:predDERef xmlns:a16="http://schemas.microsoft.com/office/drawing/2014/main" pred="{85DD59D9-3F5E-47E3-96E1-C257C4499202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8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08611"/>
    <xdr:sp macro="" textlink="">
      <xdr:nvSpPr>
        <xdr:cNvPr id="113" name="AutoShape 23" descr="reason">
          <a:extLst>
            <a:ext uri="{FF2B5EF4-FFF2-40B4-BE49-F238E27FC236}">
              <a16:creationId xmlns:a16="http://schemas.microsoft.com/office/drawing/2014/main" id="{87A55C2D-449E-411F-987E-36F4B8C1512A}"/>
            </a:ext>
            <a:ext uri="{147F2762-F138-4A5C-976F-8EAC2B608ADB}">
              <a16:predDERef xmlns:a16="http://schemas.microsoft.com/office/drawing/2014/main" pred="{5BD03AD7-ABAD-4C4C-89B0-0F1AA7DDA704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8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08611"/>
    <xdr:sp macro="" textlink="">
      <xdr:nvSpPr>
        <xdr:cNvPr id="114" name="AutoShape 24" descr="reason">
          <a:extLst>
            <a:ext uri="{FF2B5EF4-FFF2-40B4-BE49-F238E27FC236}">
              <a16:creationId xmlns:a16="http://schemas.microsoft.com/office/drawing/2014/main" id="{404EC969-F79B-4EA6-B218-2916901A7AC8}"/>
            </a:ext>
            <a:ext uri="{147F2762-F138-4A5C-976F-8EAC2B608ADB}">
              <a16:predDERef xmlns:a16="http://schemas.microsoft.com/office/drawing/2014/main" pred="{BFC6DD34-859B-4BF6-AE60-DAA75C6DD167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8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61</xdr:row>
      <xdr:rowOff>0</xdr:rowOff>
    </xdr:from>
    <xdr:ext cx="304800" cy="308611"/>
    <xdr:sp macro="" textlink="">
      <xdr:nvSpPr>
        <xdr:cNvPr id="115" name="AutoShape 25" descr="reason">
          <a:extLst>
            <a:ext uri="{FF2B5EF4-FFF2-40B4-BE49-F238E27FC236}">
              <a16:creationId xmlns:a16="http://schemas.microsoft.com/office/drawing/2014/main" id="{872A70A3-FB8A-407E-A062-51B69C182DFD}"/>
            </a:ext>
            <a:ext uri="{147F2762-F138-4A5C-976F-8EAC2B608ADB}">
              <a16:predDERef xmlns:a16="http://schemas.microsoft.com/office/drawing/2014/main" pred="{A90F02A0-2139-4507-B329-E4E5AD11420E}"/>
            </a:ext>
          </a:extLst>
        </xdr:cNvPr>
        <xdr:cNvSpPr>
          <a:spLocks noChangeAspect="1" noChangeArrowheads="1"/>
        </xdr:cNvSpPr>
      </xdr:nvSpPr>
      <xdr:spPr bwMode="auto">
        <a:xfrm>
          <a:off x="34804350" y="5187950"/>
          <a:ext cx="304800" cy="308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jireddy@deloitte.com" TargetMode="External"/><Relationship Id="rId1" Type="http://schemas.openxmlformats.org/officeDocument/2006/relationships/hyperlink" Target="mailto:MIVERMA@DELOITTE.COM%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ED6A5-486A-4FE6-A2B5-960D756EA833}">
  <sheetPr codeName="Sheet6"/>
  <dimension ref="A1:D78"/>
  <sheetViews>
    <sheetView topLeftCell="A52" zoomScale="68" zoomScaleNormal="190" workbookViewId="0">
      <selection activeCell="A67" sqref="A67:D78"/>
    </sheetView>
  </sheetViews>
  <sheetFormatPr defaultColWidth="8.81640625" defaultRowHeight="14.5" x14ac:dyDescent="0.35"/>
  <cols>
    <col min="1" max="1" width="36.26953125" style="2" bestFit="1" customWidth="1"/>
    <col min="2" max="2" width="28.7265625" style="2" customWidth="1"/>
    <col min="3" max="3" width="30.81640625" style="2" customWidth="1"/>
    <col min="4" max="4" width="71" style="2" customWidth="1"/>
    <col min="5" max="5" width="21.1796875" style="2" bestFit="1" customWidth="1"/>
    <col min="6" max="11" width="8.81640625" style="2"/>
    <col min="12" max="12" width="23.1796875" style="2" bestFit="1" customWidth="1"/>
    <col min="13" max="16384" width="8.81640625" style="2"/>
  </cols>
  <sheetData>
    <row r="1" spans="1:4" x14ac:dyDescent="0.35">
      <c r="A1" s="5" t="s">
        <v>0</v>
      </c>
      <c r="B1" s="6">
        <f ca="1">TODAY()</f>
        <v>46292</v>
      </c>
    </row>
    <row r="3" spans="1:4" x14ac:dyDescent="0.35">
      <c r="A3" s="7" t="s">
        <v>1</v>
      </c>
      <c r="B3" s="7" t="s">
        <v>9</v>
      </c>
      <c r="C3" s="7" t="s">
        <v>3</v>
      </c>
      <c r="D3" s="7" t="s">
        <v>4</v>
      </c>
    </row>
    <row r="4" spans="1:4" x14ac:dyDescent="0.35">
      <c r="A4" s="10" t="s">
        <v>5</v>
      </c>
      <c r="B4" s="1" t="s">
        <v>6</v>
      </c>
      <c r="C4" s="1">
        <v>0.5</v>
      </c>
      <c r="D4" s="1" t="s">
        <v>7</v>
      </c>
    </row>
    <row r="5" spans="1:4" ht="29" x14ac:dyDescent="0.35">
      <c r="A5" s="10" t="s">
        <v>8</v>
      </c>
      <c r="B5" s="1" t="s">
        <v>9</v>
      </c>
      <c r="C5" s="1">
        <v>0.5</v>
      </c>
      <c r="D5" s="3" t="s">
        <v>10</v>
      </c>
    </row>
    <row r="6" spans="1:4" ht="29" x14ac:dyDescent="0.35">
      <c r="A6" s="10" t="s">
        <v>11</v>
      </c>
      <c r="B6" s="1" t="s">
        <v>12</v>
      </c>
      <c r="C6" s="1">
        <v>0.5</v>
      </c>
      <c r="D6" s="3" t="s">
        <v>13</v>
      </c>
    </row>
    <row r="7" spans="1:4" ht="29" x14ac:dyDescent="0.35">
      <c r="A7" s="10" t="s">
        <v>14</v>
      </c>
      <c r="B7" s="1" t="s">
        <v>12</v>
      </c>
      <c r="C7" s="1">
        <v>0.5</v>
      </c>
      <c r="D7" s="3" t="s">
        <v>15</v>
      </c>
    </row>
    <row r="8" spans="1:4" ht="43.5" x14ac:dyDescent="0.35">
      <c r="A8" s="10" t="s">
        <v>16</v>
      </c>
      <c r="B8" s="1" t="s">
        <v>17</v>
      </c>
      <c r="C8" s="1">
        <v>0.5</v>
      </c>
      <c r="D8" s="3" t="s">
        <v>18</v>
      </c>
    </row>
    <row r="9" spans="1:4" ht="43.5" x14ac:dyDescent="0.35">
      <c r="A9" s="10" t="s">
        <v>19</v>
      </c>
      <c r="B9" s="1" t="s">
        <v>9</v>
      </c>
      <c r="C9" s="1">
        <v>4</v>
      </c>
      <c r="D9" s="4" t="s">
        <v>20</v>
      </c>
    </row>
    <row r="10" spans="1:4" ht="43.5" x14ac:dyDescent="0.35">
      <c r="A10" s="10" t="s">
        <v>21</v>
      </c>
      <c r="B10" s="1" t="s">
        <v>17</v>
      </c>
      <c r="C10" s="1">
        <v>0.5</v>
      </c>
      <c r="D10" s="3" t="s">
        <v>22</v>
      </c>
    </row>
    <row r="11" spans="1:4" ht="36.5" customHeight="1" x14ac:dyDescent="0.35">
      <c r="A11" s="10" t="s">
        <v>23</v>
      </c>
      <c r="B11" s="1" t="s">
        <v>6</v>
      </c>
      <c r="C11" s="1">
        <v>1</v>
      </c>
      <c r="D11" s="1" t="s">
        <v>24</v>
      </c>
    </row>
    <row r="12" spans="1:4" x14ac:dyDescent="0.35">
      <c r="A12" s="10" t="s">
        <v>25</v>
      </c>
      <c r="B12" s="1" t="s">
        <v>6</v>
      </c>
      <c r="C12" s="1"/>
      <c r="D12" s="1"/>
    </row>
    <row r="13" spans="1:4" ht="20.25" customHeight="1" x14ac:dyDescent="0.35">
      <c r="A13" s="10" t="s">
        <v>26</v>
      </c>
      <c r="B13" s="1" t="s">
        <v>27</v>
      </c>
      <c r="C13" s="1"/>
      <c r="D13" s="1"/>
    </row>
    <row r="14" spans="1:4" x14ac:dyDescent="0.35">
      <c r="A14" s="10"/>
      <c r="B14" s="8"/>
      <c r="C14" s="8"/>
      <c r="D14" s="8"/>
    </row>
    <row r="15" spans="1:4" x14ac:dyDescent="0.35">
      <c r="A15" s="10"/>
      <c r="B15" s="8"/>
      <c r="C15" s="8"/>
      <c r="D15" s="8"/>
    </row>
    <row r="16" spans="1:4" x14ac:dyDescent="0.35">
      <c r="B16" s="8"/>
    </row>
    <row r="17" spans="1:4" x14ac:dyDescent="0.35">
      <c r="A17" s="5" t="s">
        <v>0</v>
      </c>
      <c r="B17" s="6">
        <f ca="1">TODAY()+1</f>
        <v>46293</v>
      </c>
    </row>
    <row r="19" spans="1:4" x14ac:dyDescent="0.35">
      <c r="A19" s="7" t="s">
        <v>1</v>
      </c>
      <c r="B19" s="7" t="s">
        <v>9</v>
      </c>
      <c r="C19" s="7" t="s">
        <v>3</v>
      </c>
      <c r="D19" s="7" t="s">
        <v>4</v>
      </c>
    </row>
    <row r="20" spans="1:4" x14ac:dyDescent="0.35">
      <c r="A20" s="10" t="s">
        <v>5</v>
      </c>
      <c r="B20" s="1" t="s">
        <v>6</v>
      </c>
      <c r="C20" s="1">
        <v>0.5</v>
      </c>
    </row>
    <row r="21" spans="1:4" x14ac:dyDescent="0.35">
      <c r="A21" s="10" t="s">
        <v>8</v>
      </c>
      <c r="B21" s="1" t="s">
        <v>9</v>
      </c>
      <c r="C21" s="1">
        <v>0.5</v>
      </c>
    </row>
    <row r="22" spans="1:4" x14ac:dyDescent="0.35">
      <c r="A22" s="10" t="s">
        <v>11</v>
      </c>
      <c r="B22" s="1" t="s">
        <v>12</v>
      </c>
      <c r="C22" s="1">
        <v>0.5</v>
      </c>
    </row>
    <row r="23" spans="1:4" x14ac:dyDescent="0.35">
      <c r="A23" s="10" t="s">
        <v>14</v>
      </c>
      <c r="B23" s="1" t="s">
        <v>12</v>
      </c>
      <c r="C23" s="1">
        <v>0.5</v>
      </c>
    </row>
    <row r="24" spans="1:4" x14ac:dyDescent="0.35">
      <c r="A24" s="10" t="s">
        <v>16</v>
      </c>
      <c r="B24" s="1" t="s">
        <v>17</v>
      </c>
      <c r="C24" s="1">
        <v>0.5</v>
      </c>
    </row>
    <row r="25" spans="1:4" x14ac:dyDescent="0.35">
      <c r="A25" s="10" t="s">
        <v>19</v>
      </c>
      <c r="B25" s="1" t="s">
        <v>9</v>
      </c>
      <c r="C25" s="1">
        <v>4</v>
      </c>
    </row>
    <row r="26" spans="1:4" x14ac:dyDescent="0.35">
      <c r="A26" s="10" t="s">
        <v>21</v>
      </c>
      <c r="B26" s="1" t="s">
        <v>17</v>
      </c>
      <c r="C26" s="1">
        <v>0.5</v>
      </c>
    </row>
    <row r="27" spans="1:4" x14ac:dyDescent="0.35">
      <c r="A27" s="10" t="s">
        <v>23</v>
      </c>
      <c r="B27" s="1" t="s">
        <v>6</v>
      </c>
      <c r="C27" s="1">
        <v>1</v>
      </c>
    </row>
    <row r="28" spans="1:4" x14ac:dyDescent="0.35">
      <c r="A28" s="10" t="s">
        <v>25</v>
      </c>
      <c r="B28" s="1" t="s">
        <v>6</v>
      </c>
      <c r="C28" s="1"/>
    </row>
    <row r="29" spans="1:4" x14ac:dyDescent="0.35">
      <c r="A29" s="10" t="s">
        <v>26</v>
      </c>
      <c r="B29" s="1" t="s">
        <v>27</v>
      </c>
      <c r="C29" s="1"/>
    </row>
    <row r="30" spans="1:4" x14ac:dyDescent="0.35">
      <c r="A30" s="10" t="s">
        <v>28</v>
      </c>
      <c r="B30" s="8"/>
      <c r="C30" s="8"/>
    </row>
    <row r="33" spans="1:4" x14ac:dyDescent="0.35">
      <c r="A33" s="5" t="s">
        <v>0</v>
      </c>
      <c r="B33" s="6">
        <f ca="1">TODAY()+2</f>
        <v>46294</v>
      </c>
    </row>
    <row r="35" spans="1:4" x14ac:dyDescent="0.35">
      <c r="A35" s="7" t="s">
        <v>1</v>
      </c>
      <c r="B35" s="7" t="s">
        <v>9</v>
      </c>
      <c r="C35" s="7" t="s">
        <v>3</v>
      </c>
      <c r="D35" s="7" t="s">
        <v>4</v>
      </c>
    </row>
    <row r="36" spans="1:4" x14ac:dyDescent="0.35">
      <c r="A36" s="10" t="s">
        <v>5</v>
      </c>
      <c r="B36" s="1" t="s">
        <v>6</v>
      </c>
      <c r="C36" s="1">
        <v>0.5</v>
      </c>
    </row>
    <row r="37" spans="1:4" x14ac:dyDescent="0.35">
      <c r="A37" s="10" t="s">
        <v>8</v>
      </c>
      <c r="B37" s="1" t="s">
        <v>9</v>
      </c>
      <c r="C37" s="1">
        <v>0.5</v>
      </c>
    </row>
    <row r="38" spans="1:4" x14ac:dyDescent="0.35">
      <c r="A38" s="10" t="s">
        <v>11</v>
      </c>
      <c r="B38" s="1" t="s">
        <v>12</v>
      </c>
      <c r="C38" s="1">
        <v>0.5</v>
      </c>
    </row>
    <row r="39" spans="1:4" x14ac:dyDescent="0.35">
      <c r="A39" s="10" t="s">
        <v>14</v>
      </c>
      <c r="B39" s="1" t="s">
        <v>12</v>
      </c>
      <c r="C39" s="1">
        <v>0.5</v>
      </c>
    </row>
    <row r="40" spans="1:4" x14ac:dyDescent="0.35">
      <c r="A40" s="10" t="s">
        <v>16</v>
      </c>
      <c r="B40" s="1" t="s">
        <v>17</v>
      </c>
      <c r="C40" s="1">
        <v>0.5</v>
      </c>
    </row>
    <row r="41" spans="1:4" x14ac:dyDescent="0.35">
      <c r="A41" s="10" t="s">
        <v>19</v>
      </c>
      <c r="B41" s="1" t="s">
        <v>9</v>
      </c>
      <c r="C41" s="1">
        <v>4</v>
      </c>
    </row>
    <row r="42" spans="1:4" x14ac:dyDescent="0.35">
      <c r="A42" s="10" t="s">
        <v>21</v>
      </c>
      <c r="B42" s="1" t="s">
        <v>17</v>
      </c>
      <c r="C42" s="1">
        <v>0.5</v>
      </c>
    </row>
    <row r="43" spans="1:4" x14ac:dyDescent="0.35">
      <c r="A43" s="10" t="s">
        <v>23</v>
      </c>
      <c r="B43" s="1" t="s">
        <v>6</v>
      </c>
      <c r="C43" s="1">
        <v>1</v>
      </c>
    </row>
    <row r="44" spans="1:4" x14ac:dyDescent="0.35">
      <c r="A44" s="10" t="s">
        <v>25</v>
      </c>
      <c r="B44" s="1" t="s">
        <v>6</v>
      </c>
      <c r="C44" s="1"/>
    </row>
    <row r="45" spans="1:4" x14ac:dyDescent="0.35">
      <c r="A45" s="10" t="s">
        <v>26</v>
      </c>
      <c r="B45" s="1" t="s">
        <v>27</v>
      </c>
      <c r="C45" s="1"/>
    </row>
    <row r="46" spans="1:4" x14ac:dyDescent="0.35">
      <c r="A46" s="10" t="s">
        <v>28</v>
      </c>
      <c r="B46" s="8"/>
      <c r="C46" s="8"/>
    </row>
    <row r="49" spans="1:4" x14ac:dyDescent="0.35">
      <c r="A49" s="5" t="s">
        <v>0</v>
      </c>
      <c r="B49" s="6">
        <f ca="1">TODAY()+3</f>
        <v>46295</v>
      </c>
    </row>
    <row r="51" spans="1:4" x14ac:dyDescent="0.35">
      <c r="A51" s="7" t="s">
        <v>1</v>
      </c>
      <c r="B51" s="7" t="s">
        <v>9</v>
      </c>
      <c r="C51" s="7" t="s">
        <v>3</v>
      </c>
      <c r="D51" s="7" t="s">
        <v>4</v>
      </c>
    </row>
    <row r="52" spans="1:4" x14ac:dyDescent="0.35">
      <c r="A52" s="10" t="s">
        <v>5</v>
      </c>
      <c r="B52" s="1" t="s">
        <v>6</v>
      </c>
      <c r="C52" s="1">
        <v>0.5</v>
      </c>
    </row>
    <row r="53" spans="1:4" x14ac:dyDescent="0.35">
      <c r="A53" s="10" t="s">
        <v>8</v>
      </c>
      <c r="B53" s="1" t="s">
        <v>9</v>
      </c>
      <c r="C53" s="1">
        <v>0.5</v>
      </c>
    </row>
    <row r="54" spans="1:4" x14ac:dyDescent="0.35">
      <c r="A54" s="10" t="s">
        <v>11</v>
      </c>
      <c r="B54" s="1" t="s">
        <v>12</v>
      </c>
      <c r="C54" s="1">
        <v>0.5</v>
      </c>
    </row>
    <row r="55" spans="1:4" x14ac:dyDescent="0.35">
      <c r="A55" s="10" t="s">
        <v>14</v>
      </c>
      <c r="B55" s="1" t="s">
        <v>12</v>
      </c>
      <c r="C55" s="1">
        <v>0.5</v>
      </c>
    </row>
    <row r="56" spans="1:4" x14ac:dyDescent="0.35">
      <c r="A56" s="10" t="s">
        <v>16</v>
      </c>
      <c r="B56" s="1" t="s">
        <v>17</v>
      </c>
      <c r="C56" s="1">
        <v>0.5</v>
      </c>
    </row>
    <row r="57" spans="1:4" x14ac:dyDescent="0.35">
      <c r="A57" s="10" t="s">
        <v>19</v>
      </c>
      <c r="B57" s="1" t="s">
        <v>9</v>
      </c>
      <c r="C57" s="1">
        <v>4</v>
      </c>
    </row>
    <row r="58" spans="1:4" x14ac:dyDescent="0.35">
      <c r="A58" s="10" t="s">
        <v>21</v>
      </c>
      <c r="B58" s="1" t="s">
        <v>17</v>
      </c>
      <c r="C58" s="1">
        <v>0.5</v>
      </c>
    </row>
    <row r="59" spans="1:4" x14ac:dyDescent="0.35">
      <c r="A59" s="10" t="s">
        <v>23</v>
      </c>
      <c r="B59" s="1" t="s">
        <v>6</v>
      </c>
      <c r="C59" s="1">
        <v>1</v>
      </c>
    </row>
    <row r="60" spans="1:4" x14ac:dyDescent="0.35">
      <c r="A60" s="10" t="s">
        <v>25</v>
      </c>
      <c r="B60" s="1" t="s">
        <v>6</v>
      </c>
      <c r="C60" s="1"/>
    </row>
    <row r="61" spans="1:4" x14ac:dyDescent="0.35">
      <c r="A61" s="10" t="s">
        <v>26</v>
      </c>
      <c r="B61" s="1" t="s">
        <v>27</v>
      </c>
      <c r="C61" s="1"/>
    </row>
    <row r="62" spans="1:4" x14ac:dyDescent="0.35">
      <c r="A62" s="10" t="s">
        <v>28</v>
      </c>
      <c r="B62" s="8"/>
      <c r="C62" s="8"/>
    </row>
    <row r="65" spans="1:4" x14ac:dyDescent="0.35">
      <c r="A65" s="5" t="s">
        <v>0</v>
      </c>
      <c r="B65" s="6">
        <f ca="1">TODAY()+4</f>
        <v>46296</v>
      </c>
    </row>
    <row r="67" spans="1:4" x14ac:dyDescent="0.35">
      <c r="A67" s="7" t="s">
        <v>1</v>
      </c>
      <c r="B67" s="7" t="s">
        <v>9</v>
      </c>
      <c r="C67" s="7" t="s">
        <v>3</v>
      </c>
      <c r="D67" s="7" t="s">
        <v>4</v>
      </c>
    </row>
    <row r="68" spans="1:4" x14ac:dyDescent="0.35">
      <c r="A68" s="10" t="s">
        <v>5</v>
      </c>
      <c r="B68" s="1" t="s">
        <v>6</v>
      </c>
      <c r="C68" s="1">
        <v>0.5</v>
      </c>
    </row>
    <row r="69" spans="1:4" x14ac:dyDescent="0.35">
      <c r="A69" s="10" t="s">
        <v>8</v>
      </c>
      <c r="B69" s="1" t="s">
        <v>9</v>
      </c>
      <c r="C69" s="1">
        <v>0.5</v>
      </c>
    </row>
    <row r="70" spans="1:4" x14ac:dyDescent="0.35">
      <c r="A70" s="10" t="s">
        <v>11</v>
      </c>
      <c r="B70" s="1" t="s">
        <v>12</v>
      </c>
      <c r="C70" s="1">
        <v>0.5</v>
      </c>
    </row>
    <row r="71" spans="1:4" x14ac:dyDescent="0.35">
      <c r="A71" s="10" t="s">
        <v>14</v>
      </c>
      <c r="B71" s="1" t="s">
        <v>12</v>
      </c>
      <c r="C71" s="1">
        <v>0.5</v>
      </c>
    </row>
    <row r="72" spans="1:4" x14ac:dyDescent="0.35">
      <c r="A72" s="10" t="s">
        <v>16</v>
      </c>
      <c r="B72" s="1" t="s">
        <v>17</v>
      </c>
      <c r="C72" s="1">
        <v>0.5</v>
      </c>
    </row>
    <row r="73" spans="1:4" x14ac:dyDescent="0.35">
      <c r="A73" s="10" t="s">
        <v>19</v>
      </c>
      <c r="B73" s="1" t="s">
        <v>9</v>
      </c>
      <c r="C73" s="1">
        <v>4</v>
      </c>
    </row>
    <row r="74" spans="1:4" x14ac:dyDescent="0.35">
      <c r="A74" s="10" t="s">
        <v>21</v>
      </c>
      <c r="B74" s="1" t="s">
        <v>17</v>
      </c>
      <c r="C74" s="1">
        <v>0.5</v>
      </c>
    </row>
    <row r="75" spans="1:4" x14ac:dyDescent="0.35">
      <c r="A75" s="10" t="s">
        <v>23</v>
      </c>
      <c r="B75" s="1" t="s">
        <v>6</v>
      </c>
      <c r="C75" s="1">
        <v>1</v>
      </c>
    </row>
    <row r="76" spans="1:4" x14ac:dyDescent="0.35">
      <c r="A76" s="10" t="s">
        <v>25</v>
      </c>
      <c r="B76" s="1" t="s">
        <v>6</v>
      </c>
      <c r="C76" s="1"/>
    </row>
    <row r="77" spans="1:4" x14ac:dyDescent="0.35">
      <c r="A77" s="10" t="s">
        <v>26</v>
      </c>
      <c r="B77" s="1" t="s">
        <v>27</v>
      </c>
      <c r="C77" s="1"/>
    </row>
    <row r="78" spans="1:4" x14ac:dyDescent="0.35">
      <c r="A78" s="10" t="s">
        <v>28</v>
      </c>
      <c r="B78" s="8"/>
      <c r="C78" s="8"/>
    </row>
  </sheetData>
  <dataValidations count="1">
    <dataValidation type="list" showInputMessage="1" showErrorMessage="1" sqref="A31:A32 B18:B30 B2:B16 B34:B48 B66:B1048576 C63 B50:B62 B64" xr:uid="{6E0FD55B-D2B0-4394-82E8-32E0B159CA6B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CEC24-8E56-4CEC-B301-685FFBC96D84}">
  <sheetPr codeName="Sheet5"/>
  <dimension ref="A1:D44"/>
  <sheetViews>
    <sheetView zoomScale="56" zoomScaleNormal="190" workbookViewId="0">
      <selection activeCell="B2" sqref="B2"/>
    </sheetView>
  </sheetViews>
  <sheetFormatPr defaultColWidth="8.81640625" defaultRowHeight="14.5" x14ac:dyDescent="0.35"/>
  <cols>
    <col min="1" max="1" width="36.26953125" style="2" bestFit="1" customWidth="1"/>
    <col min="2" max="2" width="28.7265625" style="2" customWidth="1"/>
    <col min="3" max="3" width="30.81640625" style="2" customWidth="1"/>
    <col min="4" max="4" width="79.90625" style="2" customWidth="1"/>
    <col min="5" max="5" width="21.1796875" style="2" bestFit="1" customWidth="1"/>
    <col min="6" max="11" width="8.81640625" style="2"/>
    <col min="12" max="12" width="23.1796875" style="2" bestFit="1" customWidth="1"/>
    <col min="13" max="16384" width="8.81640625" style="2"/>
  </cols>
  <sheetData>
    <row r="1" spans="1:4" x14ac:dyDescent="0.35">
      <c r="A1" s="5" t="s">
        <v>0</v>
      </c>
      <c r="B1" s="6">
        <f ca="1">TODAY()</f>
        <v>46292</v>
      </c>
    </row>
    <row r="3" spans="1:4" x14ac:dyDescent="0.35">
      <c r="A3" s="7" t="s">
        <v>1</v>
      </c>
      <c r="B3" s="7" t="s">
        <v>2</v>
      </c>
      <c r="C3" s="7" t="s">
        <v>3</v>
      </c>
      <c r="D3" s="7" t="s">
        <v>4</v>
      </c>
    </row>
    <row r="4" spans="1:4" x14ac:dyDescent="0.35">
      <c r="A4" s="10" t="s">
        <v>5</v>
      </c>
      <c r="B4" s="1" t="s">
        <v>6</v>
      </c>
      <c r="C4" s="1">
        <v>0.5</v>
      </c>
      <c r="D4" s="1" t="s">
        <v>7</v>
      </c>
    </row>
    <row r="5" spans="1:4" ht="29" x14ac:dyDescent="0.35">
      <c r="A5" s="10" t="s">
        <v>8</v>
      </c>
      <c r="B5" s="1" t="s">
        <v>9</v>
      </c>
      <c r="C5" s="1">
        <v>0.5</v>
      </c>
      <c r="D5" s="3" t="s">
        <v>10</v>
      </c>
    </row>
    <row r="6" spans="1:4" ht="29" x14ac:dyDescent="0.35">
      <c r="A6" s="10" t="s">
        <v>11</v>
      </c>
      <c r="B6" s="1" t="s">
        <v>12</v>
      </c>
      <c r="C6" s="1">
        <v>0.5</v>
      </c>
      <c r="D6" s="3" t="s">
        <v>13</v>
      </c>
    </row>
    <row r="7" spans="1:4" ht="29" x14ac:dyDescent="0.35">
      <c r="A7" s="10" t="s">
        <v>14</v>
      </c>
      <c r="B7" s="1" t="s">
        <v>12</v>
      </c>
      <c r="C7" s="1">
        <v>0.5</v>
      </c>
      <c r="D7" s="3" t="s">
        <v>15</v>
      </c>
    </row>
    <row r="8" spans="1:4" ht="43.5" x14ac:dyDescent="0.35">
      <c r="A8" s="10" t="s">
        <v>16</v>
      </c>
      <c r="B8" s="1" t="s">
        <v>17</v>
      </c>
      <c r="C8" s="1">
        <v>0.5</v>
      </c>
      <c r="D8" s="3" t="s">
        <v>18</v>
      </c>
    </row>
    <row r="9" spans="1:4" ht="43.5" x14ac:dyDescent="0.35">
      <c r="A9" s="10" t="s">
        <v>19</v>
      </c>
      <c r="B9" s="1" t="s">
        <v>9</v>
      </c>
      <c r="C9" s="1">
        <v>4</v>
      </c>
      <c r="D9" s="4" t="s">
        <v>20</v>
      </c>
    </row>
    <row r="10" spans="1:4" ht="43.5" x14ac:dyDescent="0.35">
      <c r="A10" s="10" t="s">
        <v>21</v>
      </c>
      <c r="B10" s="1" t="s">
        <v>17</v>
      </c>
      <c r="C10" s="1">
        <v>0.5</v>
      </c>
      <c r="D10" s="3" t="s">
        <v>22</v>
      </c>
    </row>
    <row r="11" spans="1:4" x14ac:dyDescent="0.35">
      <c r="A11" s="10" t="s">
        <v>23</v>
      </c>
      <c r="B11" s="1" t="s">
        <v>6</v>
      </c>
      <c r="C11" s="1">
        <v>1</v>
      </c>
      <c r="D11" s="1" t="s">
        <v>24</v>
      </c>
    </row>
    <row r="12" spans="1:4" x14ac:dyDescent="0.35">
      <c r="A12" s="10" t="s">
        <v>25</v>
      </c>
      <c r="B12" s="1" t="s">
        <v>6</v>
      </c>
      <c r="C12" s="1"/>
      <c r="D12" s="1"/>
    </row>
    <row r="13" spans="1:4" ht="20.25" customHeight="1" x14ac:dyDescent="0.35">
      <c r="A13" s="10" t="s">
        <v>26</v>
      </c>
      <c r="B13" s="1" t="s">
        <v>27</v>
      </c>
      <c r="C13" s="1"/>
      <c r="D13" s="1"/>
    </row>
    <row r="14" spans="1:4" x14ac:dyDescent="0.35">
      <c r="A14" s="10" t="s">
        <v>28</v>
      </c>
      <c r="B14" s="8"/>
      <c r="C14" s="8"/>
      <c r="D14" s="8"/>
    </row>
    <row r="15" spans="1:4" x14ac:dyDescent="0.35">
      <c r="B15" s="8"/>
    </row>
    <row r="16" spans="1:4" x14ac:dyDescent="0.35">
      <c r="B16" s="8"/>
    </row>
    <row r="17" spans="1:2" x14ac:dyDescent="0.35">
      <c r="B17" s="8"/>
    </row>
    <row r="18" spans="1:2" x14ac:dyDescent="0.35">
      <c r="B18" s="8"/>
    </row>
    <row r="19" spans="1:2" x14ac:dyDescent="0.35">
      <c r="B19" s="8"/>
    </row>
    <row r="20" spans="1:2" x14ac:dyDescent="0.35">
      <c r="B20" s="8"/>
    </row>
    <row r="21" spans="1:2" x14ac:dyDescent="0.35">
      <c r="B21" s="8"/>
    </row>
    <row r="22" spans="1:2" x14ac:dyDescent="0.35">
      <c r="B22" s="8"/>
    </row>
    <row r="23" spans="1:2" x14ac:dyDescent="0.35">
      <c r="A23" s="9" t="s">
        <v>9</v>
      </c>
      <c r="B23" s="8"/>
    </row>
    <row r="24" spans="1:2" x14ac:dyDescent="0.35">
      <c r="A24" s="9" t="s">
        <v>17</v>
      </c>
      <c r="B24" s="8"/>
    </row>
    <row r="25" spans="1:2" x14ac:dyDescent="0.35">
      <c r="A25" s="9" t="s">
        <v>29</v>
      </c>
    </row>
    <row r="26" spans="1:2" x14ac:dyDescent="0.35">
      <c r="A26" s="9" t="s">
        <v>6</v>
      </c>
    </row>
    <row r="27" spans="1:2" x14ac:dyDescent="0.35">
      <c r="A27" s="9" t="s">
        <v>30</v>
      </c>
    </row>
    <row r="28" spans="1:2" x14ac:dyDescent="0.35">
      <c r="A28" s="9" t="s">
        <v>31</v>
      </c>
    </row>
    <row r="29" spans="1:2" x14ac:dyDescent="0.35">
      <c r="A29" s="9" t="s">
        <v>27</v>
      </c>
    </row>
    <row r="30" spans="1:2" x14ac:dyDescent="0.35">
      <c r="A30" s="9" t="s">
        <v>12</v>
      </c>
    </row>
    <row r="31" spans="1:2" x14ac:dyDescent="0.35">
      <c r="A31" s="9" t="s">
        <v>32</v>
      </c>
    </row>
    <row r="34" spans="1:1" x14ac:dyDescent="0.35">
      <c r="A34" s="9" t="s">
        <v>5</v>
      </c>
    </row>
    <row r="35" spans="1:1" x14ac:dyDescent="0.35">
      <c r="A35" s="9" t="s">
        <v>8</v>
      </c>
    </row>
    <row r="36" spans="1:1" x14ac:dyDescent="0.35">
      <c r="A36" s="9" t="s">
        <v>11</v>
      </c>
    </row>
    <row r="37" spans="1:1" x14ac:dyDescent="0.35">
      <c r="A37" s="9" t="s">
        <v>14</v>
      </c>
    </row>
    <row r="38" spans="1:1" x14ac:dyDescent="0.35">
      <c r="A38" s="9" t="s">
        <v>16</v>
      </c>
    </row>
    <row r="39" spans="1:1" x14ac:dyDescent="0.35">
      <c r="A39" s="9" t="s">
        <v>19</v>
      </c>
    </row>
    <row r="40" spans="1:1" x14ac:dyDescent="0.35">
      <c r="A40" s="9" t="s">
        <v>21</v>
      </c>
    </row>
    <row r="41" spans="1:1" x14ac:dyDescent="0.35">
      <c r="A41" s="9" t="s">
        <v>23</v>
      </c>
    </row>
    <row r="42" spans="1:1" x14ac:dyDescent="0.35">
      <c r="A42" s="9" t="s">
        <v>25</v>
      </c>
    </row>
    <row r="43" spans="1:1" x14ac:dyDescent="0.35">
      <c r="A43" s="9" t="s">
        <v>26</v>
      </c>
    </row>
    <row r="44" spans="1:1" x14ac:dyDescent="0.35">
      <c r="A44" s="9" t="s">
        <v>28</v>
      </c>
    </row>
  </sheetData>
  <dataValidations count="1">
    <dataValidation type="list" showInputMessage="1" showErrorMessage="1" sqref="B2:B1048576" xr:uid="{E11C91E6-6D1B-4CD6-8545-BE25DF1FA314}">
      <formula1>$A$23:$A$31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EA20-3D7A-4B60-991B-561873958B72}">
  <dimension ref="A2:U106"/>
  <sheetViews>
    <sheetView tabSelected="1" topLeftCell="A42" workbookViewId="0">
      <selection activeCell="A96" sqref="A96:T106"/>
    </sheetView>
  </sheetViews>
  <sheetFormatPr defaultRowHeight="14.5" x14ac:dyDescent="0.35"/>
  <cols>
    <col min="1" max="1" width="22.90625" customWidth="1"/>
    <col min="2" max="2" width="24.7265625" customWidth="1"/>
    <col min="3" max="3" width="30.7265625" bestFit="1" customWidth="1"/>
    <col min="4" max="4" width="63" customWidth="1"/>
  </cols>
  <sheetData>
    <row r="2" spans="1:4" x14ac:dyDescent="0.35">
      <c r="A2" s="13" t="s">
        <v>0</v>
      </c>
      <c r="B2" s="14" t="s">
        <v>45</v>
      </c>
    </row>
    <row r="4" spans="1:4" x14ac:dyDescent="0.35">
      <c r="A4" s="11" t="s">
        <v>1</v>
      </c>
      <c r="B4" s="11" t="s">
        <v>2</v>
      </c>
      <c r="C4" s="11" t="s">
        <v>3</v>
      </c>
      <c r="D4" s="11" t="s">
        <v>4</v>
      </c>
    </row>
    <row r="5" spans="1:4" x14ac:dyDescent="0.35">
      <c r="A5" s="12" t="s">
        <v>33</v>
      </c>
      <c r="B5" s="12" t="s">
        <v>9</v>
      </c>
      <c r="C5" s="12">
        <v>1</v>
      </c>
      <c r="D5" s="12" t="s">
        <v>47</v>
      </c>
    </row>
    <row r="6" spans="1:4" x14ac:dyDescent="0.35">
      <c r="A6" s="12" t="s">
        <v>34</v>
      </c>
      <c r="B6" s="12" t="s">
        <v>35</v>
      </c>
      <c r="C6" s="12">
        <v>0.5</v>
      </c>
      <c r="D6" s="12" t="s">
        <v>48</v>
      </c>
    </row>
    <row r="7" spans="1:4" x14ac:dyDescent="0.35">
      <c r="A7" s="12" t="s">
        <v>36</v>
      </c>
      <c r="B7" s="12" t="s">
        <v>9</v>
      </c>
      <c r="C7" s="12">
        <v>1</v>
      </c>
      <c r="D7" s="12" t="s">
        <v>49</v>
      </c>
    </row>
    <row r="8" spans="1:4" x14ac:dyDescent="0.35">
      <c r="A8" s="12" t="s">
        <v>37</v>
      </c>
      <c r="B8" s="12" t="s">
        <v>38</v>
      </c>
      <c r="C8" s="12">
        <v>1</v>
      </c>
      <c r="D8" s="12" t="s">
        <v>50</v>
      </c>
    </row>
    <row r="9" spans="1:4" x14ac:dyDescent="0.35">
      <c r="A9" s="12" t="s">
        <v>39</v>
      </c>
      <c r="B9" s="12" t="s">
        <v>31</v>
      </c>
      <c r="C9" s="12">
        <v>1</v>
      </c>
      <c r="D9" s="12"/>
    </row>
    <row r="10" spans="1:4" x14ac:dyDescent="0.35">
      <c r="A10" s="12" t="s">
        <v>40</v>
      </c>
      <c r="B10" s="12" t="s">
        <v>31</v>
      </c>
      <c r="C10" s="12">
        <v>0.5</v>
      </c>
      <c r="D10" s="12"/>
    </row>
    <row r="11" spans="1:4" x14ac:dyDescent="0.35">
      <c r="A11" s="12" t="s">
        <v>41</v>
      </c>
      <c r="B11" s="12" t="s">
        <v>42</v>
      </c>
      <c r="C11" s="12">
        <v>0</v>
      </c>
      <c r="D11" s="12"/>
    </row>
    <row r="12" spans="1:4" x14ac:dyDescent="0.35">
      <c r="A12" s="12" t="s">
        <v>43</v>
      </c>
      <c r="B12" s="12" t="s">
        <v>44</v>
      </c>
      <c r="C12" s="12">
        <v>0.5</v>
      </c>
      <c r="D12" s="12"/>
    </row>
    <row r="13" spans="1:4" x14ac:dyDescent="0.35">
      <c r="A13" s="16" t="s">
        <v>5</v>
      </c>
      <c r="B13" s="17" t="s">
        <v>6</v>
      </c>
      <c r="C13" s="20">
        <v>1</v>
      </c>
      <c r="D13" s="18"/>
    </row>
    <row r="14" spans="1:4" x14ac:dyDescent="0.35">
      <c r="A14" s="20" t="s">
        <v>46</v>
      </c>
      <c r="B14" s="18"/>
      <c r="C14" s="20">
        <v>7</v>
      </c>
      <c r="D14" s="18"/>
    </row>
    <row r="15" spans="1:4" x14ac:dyDescent="0.35">
      <c r="B15" s="15"/>
    </row>
    <row r="16" spans="1:4" x14ac:dyDescent="0.35">
      <c r="A16" s="15" t="s">
        <v>0</v>
      </c>
    </row>
    <row r="18" spans="1:4" x14ac:dyDescent="0.35">
      <c r="A18" s="11" t="s">
        <v>1</v>
      </c>
      <c r="B18" s="11" t="s">
        <v>9</v>
      </c>
      <c r="C18" s="11" t="s">
        <v>3</v>
      </c>
      <c r="D18" s="11" t="s">
        <v>4</v>
      </c>
    </row>
    <row r="19" spans="1:4" x14ac:dyDescent="0.35">
      <c r="A19" s="16" t="s">
        <v>5</v>
      </c>
      <c r="B19" s="17" t="s">
        <v>6</v>
      </c>
      <c r="C19" s="17">
        <v>0.5</v>
      </c>
      <c r="D19" s="18"/>
    </row>
    <row r="20" spans="1:4" x14ac:dyDescent="0.35">
      <c r="A20" s="16" t="s">
        <v>8</v>
      </c>
      <c r="B20" s="17" t="s">
        <v>9</v>
      </c>
      <c r="C20" s="17">
        <v>0.5</v>
      </c>
      <c r="D20" s="18"/>
    </row>
    <row r="21" spans="1:4" ht="29" x14ac:dyDescent="0.35">
      <c r="A21" s="16" t="s">
        <v>11</v>
      </c>
      <c r="B21" s="17" t="s">
        <v>12</v>
      </c>
      <c r="C21" s="17">
        <v>0.5</v>
      </c>
      <c r="D21" s="18"/>
    </row>
    <row r="22" spans="1:4" ht="29" x14ac:dyDescent="0.35">
      <c r="A22" s="16" t="s">
        <v>14</v>
      </c>
      <c r="B22" s="17" t="s">
        <v>12</v>
      </c>
      <c r="C22" s="17">
        <v>0.5</v>
      </c>
      <c r="D22" s="18"/>
    </row>
    <row r="23" spans="1:4" ht="29" x14ac:dyDescent="0.35">
      <c r="A23" s="16" t="s">
        <v>16</v>
      </c>
      <c r="B23" s="17" t="s">
        <v>17</v>
      </c>
      <c r="C23" s="17">
        <v>0.5</v>
      </c>
      <c r="D23" s="18"/>
    </row>
    <row r="24" spans="1:4" x14ac:dyDescent="0.35">
      <c r="A24" s="16" t="s">
        <v>19</v>
      </c>
      <c r="B24" s="17" t="s">
        <v>9</v>
      </c>
      <c r="C24" s="17">
        <v>4</v>
      </c>
      <c r="D24" s="18"/>
    </row>
    <row r="25" spans="1:4" x14ac:dyDescent="0.35">
      <c r="A25" s="16" t="s">
        <v>21</v>
      </c>
      <c r="B25" s="17" t="s">
        <v>17</v>
      </c>
      <c r="C25" s="17">
        <v>0.5</v>
      </c>
      <c r="D25" s="18"/>
    </row>
    <row r="26" spans="1:4" x14ac:dyDescent="0.35">
      <c r="A26" s="16" t="s">
        <v>23</v>
      </c>
      <c r="B26" s="17" t="s">
        <v>6</v>
      </c>
      <c r="C26" s="17">
        <v>1</v>
      </c>
      <c r="D26" s="18"/>
    </row>
    <row r="27" spans="1:4" x14ac:dyDescent="0.35">
      <c r="A27" s="16" t="s">
        <v>25</v>
      </c>
      <c r="B27" s="17" t="s">
        <v>6</v>
      </c>
      <c r="C27" s="17"/>
      <c r="D27" s="18"/>
    </row>
    <row r="28" spans="1:4" ht="29" x14ac:dyDescent="0.35">
      <c r="A28" s="16" t="s">
        <v>26</v>
      </c>
      <c r="B28" s="17" t="s">
        <v>27</v>
      </c>
      <c r="C28" s="17"/>
      <c r="D28" s="18"/>
    </row>
    <row r="29" spans="1:4" ht="29" x14ac:dyDescent="0.35">
      <c r="A29" s="16" t="s">
        <v>28</v>
      </c>
      <c r="B29" s="12"/>
      <c r="C29" s="12"/>
      <c r="D29" s="18"/>
    </row>
    <row r="30" spans="1:4" x14ac:dyDescent="0.35">
      <c r="A30" s="19" t="s">
        <v>46</v>
      </c>
      <c r="B30" s="18"/>
      <c r="C30" s="18"/>
      <c r="D30" s="18"/>
    </row>
    <row r="35" spans="1:21" x14ac:dyDescent="0.35">
      <c r="A35" s="21" t="s">
        <v>51</v>
      </c>
      <c r="B35" s="21" t="s">
        <v>2</v>
      </c>
      <c r="C35" s="21" t="s">
        <v>52</v>
      </c>
      <c r="D35" s="21" t="s">
        <v>4</v>
      </c>
    </row>
    <row r="36" spans="1:21" ht="29" x14ac:dyDescent="0.35">
      <c r="A36" s="9" t="s">
        <v>53</v>
      </c>
      <c r="B36" s="9" t="s">
        <v>6</v>
      </c>
      <c r="C36" s="9">
        <v>0.5</v>
      </c>
      <c r="D36" s="9" t="s">
        <v>54</v>
      </c>
    </row>
    <row r="37" spans="1:21" ht="29" x14ac:dyDescent="0.35">
      <c r="A37" s="9" t="s">
        <v>8</v>
      </c>
      <c r="B37" s="9" t="s">
        <v>55</v>
      </c>
      <c r="C37" s="9">
        <v>1</v>
      </c>
      <c r="D37" s="9" t="s">
        <v>56</v>
      </c>
    </row>
    <row r="38" spans="1:21" ht="29" x14ac:dyDescent="0.35">
      <c r="A38" s="9" t="s">
        <v>11</v>
      </c>
      <c r="B38" s="9" t="s">
        <v>12</v>
      </c>
      <c r="C38" s="9">
        <v>0.5</v>
      </c>
      <c r="D38" s="9" t="s">
        <v>57</v>
      </c>
    </row>
    <row r="39" spans="1:21" ht="29" x14ac:dyDescent="0.35">
      <c r="A39" s="9" t="s">
        <v>58</v>
      </c>
      <c r="B39" s="9" t="s">
        <v>12</v>
      </c>
      <c r="C39" s="9">
        <v>0.5</v>
      </c>
      <c r="D39" s="9" t="s">
        <v>59</v>
      </c>
    </row>
    <row r="40" spans="1:21" ht="29" x14ac:dyDescent="0.35">
      <c r="A40" s="9" t="s">
        <v>60</v>
      </c>
      <c r="B40" s="9" t="s">
        <v>17</v>
      </c>
      <c r="C40" s="9">
        <v>0.5</v>
      </c>
      <c r="D40" s="9" t="s">
        <v>61</v>
      </c>
    </row>
    <row r="41" spans="1:21" ht="29" x14ac:dyDescent="0.35">
      <c r="A41" s="9" t="s">
        <v>19</v>
      </c>
      <c r="B41" s="9" t="s">
        <v>55</v>
      </c>
      <c r="C41" s="9">
        <v>5</v>
      </c>
      <c r="D41" s="9" t="s">
        <v>62</v>
      </c>
    </row>
    <row r="42" spans="1:21" x14ac:dyDescent="0.35">
      <c r="A42" s="9" t="s">
        <v>21</v>
      </c>
      <c r="B42" s="9" t="s">
        <v>17</v>
      </c>
      <c r="C42" s="9">
        <v>0.5</v>
      </c>
      <c r="D42" s="9" t="s">
        <v>63</v>
      </c>
    </row>
    <row r="43" spans="1:21" x14ac:dyDescent="0.35">
      <c r="A43" s="22" t="s">
        <v>46</v>
      </c>
      <c r="B43" s="9"/>
      <c r="C43" s="22">
        <v>9</v>
      </c>
      <c r="D43" s="9"/>
    </row>
    <row r="46" spans="1:21" ht="87" x14ac:dyDescent="0.35">
      <c r="A46" s="23" t="s">
        <v>64</v>
      </c>
      <c r="B46" s="23" t="s">
        <v>65</v>
      </c>
      <c r="C46" s="24" t="s">
        <v>66</v>
      </c>
      <c r="D46" s="24" t="s">
        <v>67</v>
      </c>
      <c r="E46" s="24" t="s">
        <v>68</v>
      </c>
      <c r="F46" s="24" t="s">
        <v>69</v>
      </c>
      <c r="G46" s="25" t="s">
        <v>70</v>
      </c>
      <c r="H46" s="23" t="s">
        <v>71</v>
      </c>
      <c r="I46" s="24" t="s">
        <v>72</v>
      </c>
      <c r="J46" s="24" t="s">
        <v>73</v>
      </c>
      <c r="K46" s="24" t="s">
        <v>74</v>
      </c>
      <c r="L46" s="24" t="s">
        <v>75</v>
      </c>
      <c r="M46" s="24" t="s">
        <v>76</v>
      </c>
      <c r="N46" s="24" t="s">
        <v>77</v>
      </c>
      <c r="O46" s="24" t="s">
        <v>78</v>
      </c>
      <c r="P46" s="24" t="s">
        <v>79</v>
      </c>
      <c r="Q46" s="24" t="s">
        <v>80</v>
      </c>
      <c r="R46" s="24" t="s">
        <v>81</v>
      </c>
      <c r="S46" s="24" t="s">
        <v>82</v>
      </c>
      <c r="T46" s="24" t="s">
        <v>83</v>
      </c>
      <c r="U46" s="24" t="s">
        <v>84</v>
      </c>
    </row>
    <row r="47" spans="1:21" ht="409.5" x14ac:dyDescent="0.35">
      <c r="A47" s="26"/>
      <c r="B47" s="27">
        <v>8</v>
      </c>
      <c r="C47" s="26">
        <v>1002777</v>
      </c>
      <c r="D47" s="28" t="s">
        <v>85</v>
      </c>
      <c r="E47" s="28" t="s">
        <v>86</v>
      </c>
      <c r="F47" s="28" t="s">
        <v>87</v>
      </c>
      <c r="G47" s="29">
        <v>46258</v>
      </c>
      <c r="H47" s="29">
        <v>46269</v>
      </c>
      <c r="I47" s="28" t="s">
        <v>88</v>
      </c>
      <c r="J47" s="26"/>
      <c r="K47" s="26"/>
      <c r="L47" s="30" t="s">
        <v>89</v>
      </c>
      <c r="M47" s="28" t="s">
        <v>90</v>
      </c>
      <c r="N47" s="28" t="s">
        <v>91</v>
      </c>
      <c r="O47" s="26" t="s">
        <v>92</v>
      </c>
      <c r="P47" s="26" t="s">
        <v>93</v>
      </c>
      <c r="Q47" s="26" t="s">
        <v>94</v>
      </c>
      <c r="R47" s="26" t="s">
        <v>95</v>
      </c>
      <c r="S47" s="26" t="s">
        <v>93</v>
      </c>
      <c r="T47" s="26" t="s">
        <v>93</v>
      </c>
      <c r="U47" s="31">
        <v>46241</v>
      </c>
    </row>
    <row r="48" spans="1:21" ht="87" x14ac:dyDescent="0.35">
      <c r="A48" s="32"/>
      <c r="B48" s="33">
        <v>15</v>
      </c>
      <c r="C48" s="34">
        <v>1002833</v>
      </c>
      <c r="D48" s="34" t="s">
        <v>96</v>
      </c>
      <c r="E48" s="32"/>
      <c r="F48" s="34" t="s">
        <v>97</v>
      </c>
      <c r="G48" s="35">
        <v>46266</v>
      </c>
      <c r="H48" s="35">
        <v>46267</v>
      </c>
      <c r="I48" s="32" t="s">
        <v>98</v>
      </c>
      <c r="J48" s="32"/>
      <c r="K48" s="32"/>
      <c r="L48" s="36" t="s">
        <v>99</v>
      </c>
      <c r="M48" s="34" t="s">
        <v>90</v>
      </c>
      <c r="N48" s="34" t="s">
        <v>91</v>
      </c>
      <c r="O48" s="32" t="s">
        <v>93</v>
      </c>
      <c r="P48" s="32" t="s">
        <v>93</v>
      </c>
      <c r="Q48" s="32" t="s">
        <v>94</v>
      </c>
      <c r="R48" s="32" t="s">
        <v>93</v>
      </c>
      <c r="S48" s="37" t="s">
        <v>100</v>
      </c>
      <c r="T48" s="32" t="s">
        <v>93</v>
      </c>
      <c r="U48" s="37">
        <v>46261</v>
      </c>
    </row>
    <row r="49" spans="1:21" ht="87" x14ac:dyDescent="0.35">
      <c r="A49" s="32"/>
      <c r="B49" s="33">
        <v>22</v>
      </c>
      <c r="C49" s="32">
        <v>1002869</v>
      </c>
      <c r="D49" s="34" t="s">
        <v>101</v>
      </c>
      <c r="E49" s="32"/>
      <c r="F49" s="34" t="s">
        <v>97</v>
      </c>
      <c r="G49" s="35">
        <v>46268</v>
      </c>
      <c r="H49" s="35">
        <v>46268</v>
      </c>
      <c r="I49" s="32" t="s">
        <v>102</v>
      </c>
      <c r="J49" s="32"/>
      <c r="K49" s="32"/>
      <c r="L49" s="36" t="s">
        <v>103</v>
      </c>
      <c r="M49" s="32" t="s">
        <v>104</v>
      </c>
      <c r="N49" s="34" t="s">
        <v>105</v>
      </c>
      <c r="O49" s="32" t="s">
        <v>93</v>
      </c>
      <c r="P49" s="32" t="s">
        <v>93</v>
      </c>
      <c r="Q49" s="32" t="s">
        <v>94</v>
      </c>
      <c r="R49" s="32" t="s">
        <v>93</v>
      </c>
      <c r="S49" s="37" t="s">
        <v>106</v>
      </c>
      <c r="T49" s="32" t="s">
        <v>93</v>
      </c>
      <c r="U49" s="37">
        <v>46240</v>
      </c>
    </row>
    <row r="50" spans="1:21" ht="87" x14ac:dyDescent="0.35">
      <c r="A50" s="32"/>
      <c r="B50" s="33">
        <v>55</v>
      </c>
      <c r="C50" s="32">
        <v>1002895</v>
      </c>
      <c r="D50" s="34" t="s">
        <v>107</v>
      </c>
      <c r="E50" s="32" t="s">
        <v>86</v>
      </c>
      <c r="F50" s="33" t="s">
        <v>97</v>
      </c>
      <c r="G50" s="38">
        <v>46281</v>
      </c>
      <c r="H50" s="38">
        <v>46287</v>
      </c>
      <c r="I50" s="39" t="s">
        <v>108</v>
      </c>
      <c r="J50" s="32"/>
      <c r="K50" s="32"/>
      <c r="L50" s="40" t="s">
        <v>109</v>
      </c>
      <c r="M50" s="39" t="s">
        <v>110</v>
      </c>
      <c r="N50" s="34" t="s">
        <v>91</v>
      </c>
      <c r="O50" s="32" t="s">
        <v>93</v>
      </c>
      <c r="P50" s="32" t="s">
        <v>93</v>
      </c>
      <c r="Q50" s="32" t="s">
        <v>94</v>
      </c>
      <c r="R50" s="32" t="s">
        <v>93</v>
      </c>
      <c r="S50" s="37" t="s">
        <v>93</v>
      </c>
      <c r="T50" s="32" t="s">
        <v>93</v>
      </c>
      <c r="U50" s="37">
        <v>46208</v>
      </c>
    </row>
    <row r="51" spans="1:21" ht="87" x14ac:dyDescent="0.35">
      <c r="A51" s="41" t="s">
        <v>111</v>
      </c>
      <c r="B51" s="42">
        <v>68</v>
      </c>
      <c r="C51" s="43">
        <v>1002885</v>
      </c>
      <c r="D51" s="44" t="s">
        <v>112</v>
      </c>
      <c r="E51" s="41" t="s">
        <v>113</v>
      </c>
      <c r="F51" s="43" t="s">
        <v>97</v>
      </c>
      <c r="G51" s="45">
        <v>46286</v>
      </c>
      <c r="H51" s="45">
        <v>46287</v>
      </c>
      <c r="I51" s="41" t="s">
        <v>114</v>
      </c>
      <c r="J51" s="41"/>
      <c r="K51" s="41" t="s">
        <v>115</v>
      </c>
      <c r="L51" s="46" t="s">
        <v>116</v>
      </c>
      <c r="M51" s="44" t="s">
        <v>90</v>
      </c>
      <c r="N51" s="44" t="s">
        <v>91</v>
      </c>
      <c r="O51" s="41" t="s">
        <v>117</v>
      </c>
      <c r="P51" s="41" t="s">
        <v>93</v>
      </c>
      <c r="Q51" s="41" t="s">
        <v>94</v>
      </c>
      <c r="R51" s="41" t="s">
        <v>118</v>
      </c>
      <c r="S51" s="47" t="s">
        <v>93</v>
      </c>
      <c r="T51" s="41" t="s">
        <v>93</v>
      </c>
      <c r="U51" s="47">
        <v>46267</v>
      </c>
    </row>
    <row r="52" spans="1:21" ht="87" x14ac:dyDescent="0.35">
      <c r="A52" s="32" t="s">
        <v>119</v>
      </c>
      <c r="B52" s="33">
        <v>69</v>
      </c>
      <c r="C52" s="32">
        <v>1002808</v>
      </c>
      <c r="D52" s="34" t="s">
        <v>120</v>
      </c>
      <c r="E52" s="34"/>
      <c r="F52" s="34" t="s">
        <v>97</v>
      </c>
      <c r="G52" s="35">
        <v>46286</v>
      </c>
      <c r="H52" s="35">
        <v>46288</v>
      </c>
      <c r="I52" s="32" t="s">
        <v>121</v>
      </c>
      <c r="J52" s="32"/>
      <c r="K52" s="32"/>
      <c r="L52" s="36" t="s">
        <v>122</v>
      </c>
      <c r="M52" s="34" t="s">
        <v>123</v>
      </c>
      <c r="N52" s="34" t="s">
        <v>91</v>
      </c>
      <c r="O52" s="32" t="s">
        <v>100</v>
      </c>
      <c r="P52" s="32" t="s">
        <v>100</v>
      </c>
      <c r="Q52" s="32" t="s">
        <v>94</v>
      </c>
      <c r="R52" s="32" t="s">
        <v>93</v>
      </c>
      <c r="S52" s="48" t="s">
        <v>100</v>
      </c>
      <c r="T52" s="32" t="s">
        <v>93</v>
      </c>
      <c r="U52" s="37">
        <v>46162</v>
      </c>
    </row>
    <row r="53" spans="1:21" ht="87" x14ac:dyDescent="0.35">
      <c r="A53" s="32" t="s">
        <v>119</v>
      </c>
      <c r="B53" s="33">
        <v>70</v>
      </c>
      <c r="C53" s="33">
        <v>1002871</v>
      </c>
      <c r="D53" s="33" t="s">
        <v>120</v>
      </c>
      <c r="E53" s="32"/>
      <c r="F53" s="33" t="s">
        <v>97</v>
      </c>
      <c r="G53" s="38">
        <v>46286</v>
      </c>
      <c r="H53" s="38">
        <v>46288</v>
      </c>
      <c r="I53" s="32" t="s">
        <v>124</v>
      </c>
      <c r="J53" s="32"/>
      <c r="K53" s="32"/>
      <c r="L53" s="36" t="s">
        <v>125</v>
      </c>
      <c r="M53" s="34" t="s">
        <v>126</v>
      </c>
      <c r="N53" s="34" t="s">
        <v>91</v>
      </c>
      <c r="O53" s="32" t="s">
        <v>93</v>
      </c>
      <c r="P53" s="32" t="s">
        <v>93</v>
      </c>
      <c r="Q53" s="32" t="s">
        <v>94</v>
      </c>
      <c r="R53" s="32" t="s">
        <v>93</v>
      </c>
      <c r="S53" s="37" t="s">
        <v>93</v>
      </c>
      <c r="T53" s="32" t="s">
        <v>93</v>
      </c>
      <c r="U53" s="37">
        <v>46233</v>
      </c>
    </row>
    <row r="54" spans="1:21" ht="101.5" x14ac:dyDescent="0.35">
      <c r="A54" s="32" t="s">
        <v>119</v>
      </c>
      <c r="B54" s="33">
        <v>72</v>
      </c>
      <c r="C54" s="33">
        <v>1002890</v>
      </c>
      <c r="D54" s="34" t="s">
        <v>120</v>
      </c>
      <c r="E54" s="23"/>
      <c r="F54" s="33" t="s">
        <v>97</v>
      </c>
      <c r="G54" s="38">
        <v>46286</v>
      </c>
      <c r="H54" s="38">
        <v>46288</v>
      </c>
      <c r="I54" s="32" t="s">
        <v>127</v>
      </c>
      <c r="J54" s="23"/>
      <c r="K54" s="23"/>
      <c r="L54" s="36" t="s">
        <v>128</v>
      </c>
      <c r="M54" s="34" t="s">
        <v>126</v>
      </c>
      <c r="N54" s="34" t="s">
        <v>91</v>
      </c>
      <c r="O54" s="23" t="s">
        <v>93</v>
      </c>
      <c r="P54" s="23" t="s">
        <v>93</v>
      </c>
      <c r="Q54" s="23" t="s">
        <v>94</v>
      </c>
      <c r="R54" s="23" t="s">
        <v>93</v>
      </c>
      <c r="S54" s="48" t="s">
        <v>93</v>
      </c>
      <c r="T54" s="32" t="s">
        <v>93</v>
      </c>
      <c r="U54" s="37">
        <v>46262</v>
      </c>
    </row>
    <row r="55" spans="1:21" ht="101.5" x14ac:dyDescent="0.35">
      <c r="A55" s="32" t="s">
        <v>129</v>
      </c>
      <c r="B55" s="33">
        <v>76</v>
      </c>
      <c r="C55" s="32">
        <v>1002802</v>
      </c>
      <c r="D55" s="34" t="s">
        <v>130</v>
      </c>
      <c r="E55" s="32"/>
      <c r="F55" s="33" t="s">
        <v>97</v>
      </c>
      <c r="G55" s="35">
        <v>46286</v>
      </c>
      <c r="H55" s="35">
        <v>46296</v>
      </c>
      <c r="I55" s="32" t="s">
        <v>131</v>
      </c>
      <c r="J55" s="32"/>
      <c r="K55" s="32"/>
      <c r="L55" s="36" t="s">
        <v>132</v>
      </c>
      <c r="M55" s="32" t="s">
        <v>90</v>
      </c>
      <c r="N55" s="34" t="s">
        <v>91</v>
      </c>
      <c r="O55" s="32" t="s">
        <v>93</v>
      </c>
      <c r="P55" s="32" t="s">
        <v>133</v>
      </c>
      <c r="Q55" s="32" t="s">
        <v>94</v>
      </c>
      <c r="R55" s="32" t="s">
        <v>93</v>
      </c>
      <c r="S55" s="48" t="s">
        <v>100</v>
      </c>
      <c r="T55" s="32" t="s">
        <v>93</v>
      </c>
      <c r="U55" s="37">
        <v>46251</v>
      </c>
    </row>
    <row r="56" spans="1:21" ht="116" x14ac:dyDescent="0.35">
      <c r="A56" s="41" t="s">
        <v>119</v>
      </c>
      <c r="B56" s="33">
        <v>82</v>
      </c>
      <c r="C56" s="41">
        <v>1002846</v>
      </c>
      <c r="D56" s="44" t="s">
        <v>134</v>
      </c>
      <c r="E56" s="41" t="s">
        <v>113</v>
      </c>
      <c r="F56" s="44" t="s">
        <v>97</v>
      </c>
      <c r="G56" s="49">
        <v>46287</v>
      </c>
      <c r="H56" s="49">
        <v>46288</v>
      </c>
      <c r="I56" s="41" t="s">
        <v>135</v>
      </c>
      <c r="J56" s="41"/>
      <c r="K56" s="41" t="s">
        <v>136</v>
      </c>
      <c r="L56" s="46" t="s">
        <v>137</v>
      </c>
      <c r="M56" s="41" t="s">
        <v>138</v>
      </c>
      <c r="N56" s="44" t="s">
        <v>139</v>
      </c>
      <c r="O56" s="41" t="s">
        <v>140</v>
      </c>
      <c r="P56" s="41" t="s">
        <v>93</v>
      </c>
      <c r="Q56" s="41" t="s">
        <v>94</v>
      </c>
      <c r="R56" s="41" t="s">
        <v>93</v>
      </c>
      <c r="S56" s="47" t="s">
        <v>100</v>
      </c>
      <c r="T56" s="41" t="s">
        <v>93</v>
      </c>
      <c r="U56" s="47">
        <v>46273</v>
      </c>
    </row>
    <row r="57" spans="1:21" ht="87" x14ac:dyDescent="0.35">
      <c r="A57" s="41" t="s">
        <v>129</v>
      </c>
      <c r="B57" s="33">
        <v>83</v>
      </c>
      <c r="C57" s="41">
        <v>1002806</v>
      </c>
      <c r="D57" s="44" t="s">
        <v>141</v>
      </c>
      <c r="E57" s="44" t="s">
        <v>113</v>
      </c>
      <c r="F57" s="44" t="s">
        <v>97</v>
      </c>
      <c r="G57" s="49">
        <v>46287</v>
      </c>
      <c r="H57" s="49">
        <v>46287</v>
      </c>
      <c r="I57" s="50" t="s">
        <v>142</v>
      </c>
      <c r="J57" s="41"/>
      <c r="K57" s="41" t="s">
        <v>136</v>
      </c>
      <c r="L57" s="46" t="s">
        <v>143</v>
      </c>
      <c r="M57" s="41" t="s">
        <v>144</v>
      </c>
      <c r="N57" s="44" t="s">
        <v>145</v>
      </c>
      <c r="O57" s="41" t="s">
        <v>140</v>
      </c>
      <c r="P57" s="41" t="s">
        <v>93</v>
      </c>
      <c r="Q57" s="41" t="s">
        <v>94</v>
      </c>
      <c r="R57" s="41" t="s">
        <v>93</v>
      </c>
      <c r="S57" s="47" t="s">
        <v>100</v>
      </c>
      <c r="T57" s="41" t="s">
        <v>93</v>
      </c>
      <c r="U57" s="47">
        <v>46218</v>
      </c>
    </row>
    <row r="58" spans="1:21" ht="87" x14ac:dyDescent="0.35">
      <c r="A58" s="32" t="s">
        <v>111</v>
      </c>
      <c r="B58" s="33">
        <v>84</v>
      </c>
      <c r="C58" s="33" t="s">
        <v>146</v>
      </c>
      <c r="D58" s="33" t="s">
        <v>96</v>
      </c>
      <c r="E58" s="34"/>
      <c r="F58" s="34" t="s">
        <v>97</v>
      </c>
      <c r="G58" s="35">
        <v>46287</v>
      </c>
      <c r="H58" s="35">
        <v>46288</v>
      </c>
      <c r="I58" s="33" t="s">
        <v>147</v>
      </c>
      <c r="J58" s="32"/>
      <c r="K58" s="32" t="s">
        <v>136</v>
      </c>
      <c r="L58" s="51" t="s">
        <v>148</v>
      </c>
      <c r="M58" s="32" t="s">
        <v>90</v>
      </c>
      <c r="N58" s="34" t="s">
        <v>91</v>
      </c>
      <c r="O58" s="32" t="s">
        <v>100</v>
      </c>
      <c r="P58" s="32" t="s">
        <v>100</v>
      </c>
      <c r="Q58" s="32" t="s">
        <v>94</v>
      </c>
      <c r="R58" s="32" t="s">
        <v>93</v>
      </c>
      <c r="S58" s="37" t="s">
        <v>149</v>
      </c>
      <c r="T58" s="32" t="s">
        <v>100</v>
      </c>
      <c r="U58" s="37">
        <v>46286</v>
      </c>
    </row>
    <row r="59" spans="1:21" ht="87" x14ac:dyDescent="0.35">
      <c r="A59" s="41" t="s">
        <v>119</v>
      </c>
      <c r="B59" s="33">
        <v>92</v>
      </c>
      <c r="C59" s="41">
        <v>1002952</v>
      </c>
      <c r="D59" s="43" t="s">
        <v>150</v>
      </c>
      <c r="E59" s="41" t="s">
        <v>113</v>
      </c>
      <c r="F59" s="43" t="s">
        <v>97</v>
      </c>
      <c r="G59" s="45">
        <v>46289</v>
      </c>
      <c r="H59" s="45">
        <v>46289</v>
      </c>
      <c r="I59" s="41" t="s">
        <v>151</v>
      </c>
      <c r="J59" s="41"/>
      <c r="K59" s="41" t="s">
        <v>152</v>
      </c>
      <c r="L59" s="52" t="s">
        <v>153</v>
      </c>
      <c r="M59" s="41" t="s">
        <v>154</v>
      </c>
      <c r="N59" s="43" t="s">
        <v>145</v>
      </c>
      <c r="O59" s="41" t="s">
        <v>140</v>
      </c>
      <c r="P59" s="41" t="s">
        <v>93</v>
      </c>
      <c r="Q59" s="41" t="s">
        <v>94</v>
      </c>
      <c r="R59" s="41" t="s">
        <v>93</v>
      </c>
      <c r="S59" s="47" t="s">
        <v>155</v>
      </c>
      <c r="T59" s="41" t="s">
        <v>93</v>
      </c>
      <c r="U59" s="47">
        <v>46286</v>
      </c>
    </row>
    <row r="60" spans="1:21" ht="87" x14ac:dyDescent="0.35">
      <c r="A60" s="32" t="s">
        <v>129</v>
      </c>
      <c r="B60" s="33">
        <v>96</v>
      </c>
      <c r="C60" s="34">
        <v>1002931</v>
      </c>
      <c r="D60" s="33" t="s">
        <v>156</v>
      </c>
      <c r="E60" s="34"/>
      <c r="F60" s="33" t="s">
        <v>97</v>
      </c>
      <c r="G60" s="38">
        <v>46289</v>
      </c>
      <c r="H60" s="38">
        <v>46302</v>
      </c>
      <c r="I60" s="39" t="s">
        <v>157</v>
      </c>
      <c r="J60" s="39" t="s">
        <v>158</v>
      </c>
      <c r="K60" s="32" t="s">
        <v>136</v>
      </c>
      <c r="L60" s="51" t="s">
        <v>159</v>
      </c>
      <c r="M60" s="32" t="s">
        <v>160</v>
      </c>
      <c r="N60" s="33" t="s">
        <v>91</v>
      </c>
      <c r="O60" s="32" t="s">
        <v>93</v>
      </c>
      <c r="P60" s="32" t="s">
        <v>93</v>
      </c>
      <c r="Q60" s="32" t="s">
        <v>94</v>
      </c>
      <c r="R60" s="32" t="s">
        <v>93</v>
      </c>
      <c r="S60" s="48" t="s">
        <v>100</v>
      </c>
      <c r="T60" s="32" t="s">
        <v>93</v>
      </c>
      <c r="U60" s="37">
        <v>46280</v>
      </c>
    </row>
    <row r="61" spans="1:21" ht="217.5" x14ac:dyDescent="0.35">
      <c r="A61" s="53" t="s">
        <v>111</v>
      </c>
      <c r="B61" s="54">
        <v>106</v>
      </c>
      <c r="C61" s="53">
        <v>1002710</v>
      </c>
      <c r="D61" s="55" t="s">
        <v>161</v>
      </c>
      <c r="E61" s="55"/>
      <c r="F61" s="55" t="s">
        <v>97</v>
      </c>
      <c r="G61" s="56">
        <v>46293</v>
      </c>
      <c r="H61" s="56">
        <v>46296</v>
      </c>
      <c r="I61" s="53" t="s">
        <v>162</v>
      </c>
      <c r="J61" s="57" t="s">
        <v>163</v>
      </c>
      <c r="K61" s="53"/>
      <c r="L61" s="58" t="s">
        <v>164</v>
      </c>
      <c r="M61" s="53" t="s">
        <v>90</v>
      </c>
      <c r="N61" s="55" t="s">
        <v>91</v>
      </c>
      <c r="O61" s="53" t="s">
        <v>93</v>
      </c>
      <c r="P61" s="53" t="s">
        <v>93</v>
      </c>
      <c r="Q61" s="53" t="s">
        <v>94</v>
      </c>
      <c r="R61" s="53" t="s">
        <v>93</v>
      </c>
      <c r="S61" s="59" t="s">
        <v>100</v>
      </c>
      <c r="T61" s="53" t="s">
        <v>93</v>
      </c>
      <c r="U61" s="60">
        <v>46254</v>
      </c>
    </row>
    <row r="62" spans="1:21" ht="87" x14ac:dyDescent="0.35">
      <c r="A62" s="32" t="s">
        <v>119</v>
      </c>
      <c r="B62" s="33">
        <v>119</v>
      </c>
      <c r="C62" s="32">
        <v>1002855</v>
      </c>
      <c r="D62" s="32" t="s">
        <v>165</v>
      </c>
      <c r="E62" s="32"/>
      <c r="F62" s="34" t="s">
        <v>97</v>
      </c>
      <c r="G62" s="38">
        <v>46295</v>
      </c>
      <c r="H62" s="38">
        <v>46295</v>
      </c>
      <c r="I62" s="32" t="s">
        <v>166</v>
      </c>
      <c r="J62" s="32"/>
      <c r="K62" s="32"/>
      <c r="L62" s="61" t="s">
        <v>167</v>
      </c>
      <c r="M62" s="32" t="s">
        <v>90</v>
      </c>
      <c r="N62" s="33" t="s">
        <v>91</v>
      </c>
      <c r="O62" s="32" t="s">
        <v>93</v>
      </c>
      <c r="P62" s="32" t="s">
        <v>93</v>
      </c>
      <c r="Q62" s="32" t="s">
        <v>94</v>
      </c>
      <c r="R62" s="32" t="s">
        <v>100</v>
      </c>
      <c r="S62" s="32" t="s">
        <v>100</v>
      </c>
      <c r="T62" s="32" t="s">
        <v>100</v>
      </c>
      <c r="U62" s="37">
        <v>46261</v>
      </c>
    </row>
    <row r="96" spans="1:20" ht="29" x14ac:dyDescent="0.35">
      <c r="A96" s="62" t="s">
        <v>65</v>
      </c>
      <c r="B96" s="62" t="s">
        <v>66</v>
      </c>
      <c r="C96" s="62" t="s">
        <v>67</v>
      </c>
      <c r="D96" s="62" t="s">
        <v>68</v>
      </c>
      <c r="E96" s="62" t="s">
        <v>69</v>
      </c>
      <c r="F96" s="62" t="s">
        <v>70</v>
      </c>
      <c r="G96" s="62" t="s">
        <v>71</v>
      </c>
      <c r="H96" s="63" t="s">
        <v>72</v>
      </c>
      <c r="I96" s="63" t="s">
        <v>73</v>
      </c>
      <c r="J96" s="62" t="s">
        <v>74</v>
      </c>
      <c r="K96" s="62" t="s">
        <v>75</v>
      </c>
      <c r="L96" s="62" t="s">
        <v>76</v>
      </c>
      <c r="M96" s="62" t="s">
        <v>77</v>
      </c>
      <c r="N96" s="62" t="s">
        <v>168</v>
      </c>
      <c r="O96" s="62" t="s">
        <v>78</v>
      </c>
      <c r="P96" s="62" t="s">
        <v>79</v>
      </c>
      <c r="Q96" s="62" t="s">
        <v>80</v>
      </c>
      <c r="R96" s="62" t="s">
        <v>81</v>
      </c>
      <c r="S96" s="62" t="s">
        <v>82</v>
      </c>
      <c r="T96" s="62" t="s">
        <v>84</v>
      </c>
    </row>
    <row r="97" spans="1:20" ht="58" x14ac:dyDescent="0.35">
      <c r="A97" s="33">
        <v>5</v>
      </c>
      <c r="B97" s="33">
        <v>1002721</v>
      </c>
      <c r="C97" s="34" t="s">
        <v>169</v>
      </c>
      <c r="D97" s="33" t="s">
        <v>86</v>
      </c>
      <c r="E97" s="33" t="s">
        <v>97</v>
      </c>
      <c r="F97" s="35">
        <v>46237</v>
      </c>
      <c r="G97" s="35">
        <v>46237</v>
      </c>
      <c r="H97" s="34" t="s">
        <v>170</v>
      </c>
      <c r="I97" s="34" t="s">
        <v>171</v>
      </c>
      <c r="J97" s="33"/>
      <c r="K97" s="34" t="s">
        <v>172</v>
      </c>
      <c r="L97" s="33" t="s">
        <v>90</v>
      </c>
      <c r="M97" s="34" t="s">
        <v>91</v>
      </c>
      <c r="N97" s="33"/>
      <c r="O97" s="33" t="s">
        <v>173</v>
      </c>
      <c r="P97" s="33" t="s">
        <v>174</v>
      </c>
      <c r="Q97" s="33" t="s">
        <v>94</v>
      </c>
      <c r="R97" s="33" t="s">
        <v>93</v>
      </c>
      <c r="S97" s="33" t="s">
        <v>93</v>
      </c>
      <c r="T97" s="38">
        <v>46226</v>
      </c>
    </row>
    <row r="98" spans="1:20" ht="29" x14ac:dyDescent="0.35">
      <c r="A98" s="33">
        <v>10</v>
      </c>
      <c r="B98" s="33">
        <v>1002723</v>
      </c>
      <c r="C98" s="33" t="s">
        <v>169</v>
      </c>
      <c r="D98" s="34" t="s">
        <v>86</v>
      </c>
      <c r="E98" s="33" t="s">
        <v>97</v>
      </c>
      <c r="F98" s="38">
        <v>46238</v>
      </c>
      <c r="G98" s="38">
        <v>46238</v>
      </c>
      <c r="H98" s="34" t="s">
        <v>175</v>
      </c>
      <c r="I98" s="64"/>
      <c r="J98" s="33"/>
      <c r="K98" s="33" t="s">
        <v>176</v>
      </c>
      <c r="L98" s="33" t="s">
        <v>90</v>
      </c>
      <c r="M98" s="33" t="s">
        <v>91</v>
      </c>
      <c r="N98" s="42"/>
      <c r="O98" s="33" t="s">
        <v>93</v>
      </c>
      <c r="P98" s="33" t="s">
        <v>93</v>
      </c>
      <c r="Q98" s="33" t="s">
        <v>94</v>
      </c>
      <c r="R98" s="33" t="s">
        <v>93</v>
      </c>
      <c r="S98" s="33" t="s">
        <v>93</v>
      </c>
      <c r="T98" s="65">
        <v>46227</v>
      </c>
    </row>
    <row r="99" spans="1:20" ht="87" x14ac:dyDescent="0.35">
      <c r="A99" s="33">
        <v>16</v>
      </c>
      <c r="B99" s="33">
        <v>1002726</v>
      </c>
      <c r="C99" s="34" t="s">
        <v>169</v>
      </c>
      <c r="D99" s="34" t="s">
        <v>86</v>
      </c>
      <c r="E99" s="34" t="s">
        <v>97</v>
      </c>
      <c r="F99" s="38">
        <v>46240</v>
      </c>
      <c r="G99" s="38">
        <v>46240</v>
      </c>
      <c r="H99" s="34" t="s">
        <v>177</v>
      </c>
      <c r="I99" s="34"/>
      <c r="J99" s="34"/>
      <c r="K99" s="34" t="s">
        <v>178</v>
      </c>
      <c r="L99" s="34"/>
      <c r="M99" s="34" t="s">
        <v>91</v>
      </c>
      <c r="N99" s="34"/>
      <c r="O99" s="34" t="s">
        <v>93</v>
      </c>
      <c r="P99" s="34" t="s">
        <v>93</v>
      </c>
      <c r="Q99" s="34" t="s">
        <v>94</v>
      </c>
      <c r="R99" s="34" t="s">
        <v>93</v>
      </c>
      <c r="S99" s="34" t="s">
        <v>93</v>
      </c>
      <c r="T99" s="35">
        <v>46233</v>
      </c>
    </row>
    <row r="100" spans="1:20" ht="409.5" x14ac:dyDescent="0.35">
      <c r="A100" s="33">
        <v>24</v>
      </c>
      <c r="B100" s="34">
        <v>1002764</v>
      </c>
      <c r="C100" s="33" t="s">
        <v>179</v>
      </c>
      <c r="D100" s="33"/>
      <c r="E100" s="33" t="s">
        <v>97</v>
      </c>
      <c r="F100" s="38">
        <v>46244</v>
      </c>
      <c r="G100" s="38">
        <v>46248</v>
      </c>
      <c r="H100" s="34" t="s">
        <v>180</v>
      </c>
      <c r="I100" s="33" t="s">
        <v>181</v>
      </c>
      <c r="J100" s="33"/>
      <c r="K100" s="33" t="s">
        <v>182</v>
      </c>
      <c r="L100" s="33" t="s">
        <v>90</v>
      </c>
      <c r="M100" s="33" t="s">
        <v>91</v>
      </c>
      <c r="N100" s="33"/>
      <c r="O100" s="33" t="s">
        <v>93</v>
      </c>
      <c r="P100" s="33" t="s">
        <v>93</v>
      </c>
      <c r="Q100" s="33" t="s">
        <v>94</v>
      </c>
      <c r="R100" s="33" t="s">
        <v>93</v>
      </c>
      <c r="S100" s="33" t="s">
        <v>93</v>
      </c>
      <c r="T100" s="38">
        <v>46239</v>
      </c>
    </row>
    <row r="101" spans="1:20" x14ac:dyDescent="0.35">
      <c r="A101" s="33">
        <v>25</v>
      </c>
      <c r="B101" s="33">
        <v>1002689</v>
      </c>
      <c r="C101" s="33" t="s">
        <v>183</v>
      </c>
      <c r="D101" s="33"/>
      <c r="E101" s="33" t="s">
        <v>97</v>
      </c>
      <c r="F101" s="38">
        <v>46244</v>
      </c>
      <c r="G101" s="38">
        <v>46256</v>
      </c>
      <c r="H101" s="33" t="s">
        <v>184</v>
      </c>
      <c r="I101" s="34"/>
      <c r="J101" s="33"/>
      <c r="K101" s="33" t="s">
        <v>185</v>
      </c>
      <c r="L101" s="33" t="s">
        <v>90</v>
      </c>
      <c r="M101" s="33" t="s">
        <v>91</v>
      </c>
      <c r="N101" s="33"/>
      <c r="O101" s="33" t="s">
        <v>93</v>
      </c>
      <c r="P101" s="33" t="s">
        <v>93</v>
      </c>
      <c r="Q101" s="33" t="s">
        <v>94</v>
      </c>
      <c r="R101" s="33" t="s">
        <v>186</v>
      </c>
      <c r="S101" s="33" t="s">
        <v>93</v>
      </c>
      <c r="T101" s="38">
        <v>46218</v>
      </c>
    </row>
    <row r="102" spans="1:20" ht="87" x14ac:dyDescent="0.35">
      <c r="A102" s="33">
        <v>35</v>
      </c>
      <c r="B102" s="33">
        <v>1002787</v>
      </c>
      <c r="C102" s="33" t="s">
        <v>187</v>
      </c>
      <c r="D102" s="34"/>
      <c r="E102" s="33" t="s">
        <v>97</v>
      </c>
      <c r="F102" s="38">
        <v>46251</v>
      </c>
      <c r="G102" s="38">
        <v>46251</v>
      </c>
      <c r="H102" s="42" t="s">
        <v>188</v>
      </c>
      <c r="I102" s="33" t="s">
        <v>189</v>
      </c>
      <c r="J102" s="33"/>
      <c r="K102" s="33" t="s">
        <v>190</v>
      </c>
      <c r="L102" s="34" t="s">
        <v>90</v>
      </c>
      <c r="M102" s="33" t="s">
        <v>91</v>
      </c>
      <c r="N102" s="33"/>
      <c r="O102" s="34" t="s">
        <v>93</v>
      </c>
      <c r="P102" s="34" t="s">
        <v>93</v>
      </c>
      <c r="Q102" s="34" t="s">
        <v>94</v>
      </c>
      <c r="R102" s="34" t="s">
        <v>93</v>
      </c>
      <c r="S102" s="34" t="s">
        <v>93</v>
      </c>
      <c r="T102" s="38">
        <v>46244</v>
      </c>
    </row>
    <row r="103" spans="1:20" ht="58" x14ac:dyDescent="0.35">
      <c r="A103" s="33">
        <v>38</v>
      </c>
      <c r="B103" s="66">
        <v>1002711</v>
      </c>
      <c r="C103" s="67" t="s">
        <v>191</v>
      </c>
      <c r="D103" s="66" t="s">
        <v>113</v>
      </c>
      <c r="E103" s="66" t="s">
        <v>97</v>
      </c>
      <c r="F103" s="68">
        <v>46251</v>
      </c>
      <c r="G103" s="68">
        <v>46255</v>
      </c>
      <c r="H103" s="67" t="s">
        <v>192</v>
      </c>
      <c r="I103" s="67"/>
      <c r="J103" s="66" t="s">
        <v>152</v>
      </c>
      <c r="K103" s="67" t="s">
        <v>193</v>
      </c>
      <c r="L103" s="66" t="s">
        <v>90</v>
      </c>
      <c r="M103" s="67" t="s">
        <v>91</v>
      </c>
      <c r="N103" s="66"/>
      <c r="O103" s="66" t="s">
        <v>93</v>
      </c>
      <c r="P103" s="66" t="s">
        <v>93</v>
      </c>
      <c r="Q103" s="66" t="s">
        <v>94</v>
      </c>
      <c r="R103" s="66" t="s">
        <v>93</v>
      </c>
      <c r="S103" s="66" t="s">
        <v>93</v>
      </c>
      <c r="T103" s="68">
        <v>46225</v>
      </c>
    </row>
    <row r="104" spans="1:20" ht="377" x14ac:dyDescent="0.35">
      <c r="A104" s="33">
        <v>51</v>
      </c>
      <c r="B104" s="33">
        <v>1002777</v>
      </c>
      <c r="C104" s="33" t="s">
        <v>85</v>
      </c>
      <c r="D104" s="33" t="s">
        <v>86</v>
      </c>
      <c r="E104" s="34" t="s">
        <v>194</v>
      </c>
      <c r="F104" s="35">
        <v>46258</v>
      </c>
      <c r="G104" s="35">
        <v>46269</v>
      </c>
      <c r="H104" s="34" t="s">
        <v>195</v>
      </c>
      <c r="I104" s="34"/>
      <c r="J104" s="33"/>
      <c r="K104" s="33" t="s">
        <v>89</v>
      </c>
      <c r="L104" s="33" t="s">
        <v>90</v>
      </c>
      <c r="M104" s="33" t="s">
        <v>91</v>
      </c>
      <c r="N104" s="33"/>
      <c r="O104" s="34" t="s">
        <v>92</v>
      </c>
      <c r="P104" s="34" t="s">
        <v>173</v>
      </c>
      <c r="Q104" s="33" t="s">
        <v>94</v>
      </c>
      <c r="R104" s="33" t="s">
        <v>95</v>
      </c>
      <c r="S104" s="33" t="s">
        <v>93</v>
      </c>
      <c r="T104" s="38">
        <v>46241</v>
      </c>
    </row>
    <row r="105" spans="1:20" ht="43.5" x14ac:dyDescent="0.35">
      <c r="A105" s="33">
        <v>64</v>
      </c>
      <c r="B105" s="33">
        <v>1002795</v>
      </c>
      <c r="C105" s="33" t="s">
        <v>96</v>
      </c>
      <c r="D105" s="33"/>
      <c r="E105" s="33" t="s">
        <v>97</v>
      </c>
      <c r="F105" s="38">
        <v>46261</v>
      </c>
      <c r="G105" s="38">
        <v>46261</v>
      </c>
      <c r="H105" s="34" t="s">
        <v>196</v>
      </c>
      <c r="I105" s="34"/>
      <c r="J105" s="33"/>
      <c r="K105" s="33" t="s">
        <v>197</v>
      </c>
      <c r="L105" s="33" t="s">
        <v>198</v>
      </c>
      <c r="M105" s="33" t="s">
        <v>91</v>
      </c>
      <c r="N105" s="33"/>
      <c r="O105" s="34" t="s">
        <v>93</v>
      </c>
      <c r="P105" s="34" t="s">
        <v>93</v>
      </c>
      <c r="Q105" s="33" t="s">
        <v>94</v>
      </c>
      <c r="R105" s="34" t="s">
        <v>93</v>
      </c>
      <c r="S105" s="34" t="s">
        <v>93</v>
      </c>
      <c r="T105" s="38">
        <v>46246</v>
      </c>
    </row>
    <row r="106" spans="1:20" ht="43.5" x14ac:dyDescent="0.35">
      <c r="A106" s="33">
        <v>67</v>
      </c>
      <c r="B106" s="33">
        <v>1002845</v>
      </c>
      <c r="C106" s="33" t="s">
        <v>199</v>
      </c>
      <c r="D106" s="33"/>
      <c r="E106" s="33" t="s">
        <v>97</v>
      </c>
      <c r="F106" s="38">
        <v>46265</v>
      </c>
      <c r="G106" s="38">
        <v>46265</v>
      </c>
      <c r="H106" s="34" t="s">
        <v>200</v>
      </c>
      <c r="I106" s="34" t="s">
        <v>201</v>
      </c>
      <c r="J106" s="33"/>
      <c r="K106" s="33" t="s">
        <v>202</v>
      </c>
      <c r="L106" s="33" t="s">
        <v>90</v>
      </c>
      <c r="M106" s="33" t="s">
        <v>105</v>
      </c>
      <c r="N106" s="33"/>
      <c r="O106" s="33" t="s">
        <v>93</v>
      </c>
      <c r="P106" s="33" t="s">
        <v>93</v>
      </c>
      <c r="Q106" s="33" t="s">
        <v>94</v>
      </c>
      <c r="R106" s="33" t="s">
        <v>93</v>
      </c>
      <c r="S106" s="33" t="s">
        <v>93</v>
      </c>
      <c r="T106" s="38">
        <v>46260</v>
      </c>
    </row>
  </sheetData>
  <conditionalFormatting sqref="C60:C62 C46:C57">
    <cfRule type="duplicateValues" dxfId="1" priority="2"/>
  </conditionalFormatting>
  <conditionalFormatting sqref="C46:C62">
    <cfRule type="duplicateValues" dxfId="0" priority="1"/>
  </conditionalFormatting>
  <dataValidations count="1">
    <dataValidation type="list" showInputMessage="1" showErrorMessage="1" sqref="B13 B18:B29" xr:uid="{85B09F29-E047-41C0-9DB5-80C9E9CF4782}">
      <formula1>#REF!</formula1>
    </dataValidation>
  </dataValidations>
  <hyperlinks>
    <hyperlink ref="L50" r:id="rId1" xr:uid="{FBDE675C-3692-437E-B9F9-A6618FAF9388}"/>
    <hyperlink ref="L62" r:id="rId2" xr:uid="{4AE50672-8F6C-445B-8617-1B45E6069714}"/>
  </hyperlinks>
  <pageMargins left="0.7" right="0.7" top="0.75" bottom="0.75" header="0.3" footer="0.3"/>
  <drawing r:id="rId3"/>
</worksheet>
</file>

<file path=docMetadata/LabelInfo.xml><?xml version="1.0" encoding="utf-8"?>
<clbl:labelList xmlns:clbl="http://schemas.microsoft.com/office/2020/mipLabelMetadata">
  <clbl:label id="{ea60d57e-af5b-4752-ac57-3e4f28ca11dc}" enabled="1" method="Privilege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Aug</vt:lpstr>
      <vt:lpstr>Master Sheet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Bhatnagar, Yaksh Kishore</dc:creator>
  <cp:keywords/>
  <dc:description/>
  <cp:lastModifiedBy>SHARMA, PALAK</cp:lastModifiedBy>
  <cp:revision/>
  <dcterms:created xsi:type="dcterms:W3CDTF">2020-05-14T09:44:24Z</dcterms:created>
  <dcterms:modified xsi:type="dcterms:W3CDTF">2026-09-27T10:45:27Z</dcterms:modified>
  <cp:category/>
  <cp:contentStatus/>
</cp:coreProperties>
</file>